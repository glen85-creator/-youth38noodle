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G:\청년38국수\"/>
    </mc:Choice>
  </mc:AlternateContent>
  <xr:revisionPtr revIDLastSave="0" documentId="13_ncr:1_{78AAC27C-A839-467D-B152-A34CC5B908D9}" xr6:coauthVersionLast="47" xr6:coauthVersionMax="47" xr10:uidLastSave="{00000000-0000-0000-0000-000000000000}"/>
  <bookViews>
    <workbookView xWindow="-120" yWindow="-120" windowWidth="29040" windowHeight="15840" firstSheet="1" activeTab="6" xr2:uid="{00000000-000D-0000-FFFF-FFFF00000000}"/>
  </bookViews>
  <sheets>
    <sheet name="전체" sheetId="9" r:id="rId1"/>
    <sheet name="주방설비(자산성 설비)" sheetId="1" r:id="rId2"/>
    <sheet name="상품판매, 옥상설비" sheetId="3" r:id="rId3"/>
    <sheet name="식당홀 의탁자" sheetId="6" r:id="rId4"/>
    <sheet name="사회적기업 공간" sheetId="7" r:id="rId5"/>
    <sheet name="소모성 기물(자부담)" sheetId="2" r:id="rId6"/>
    <sheet name="주방공사 견적" sheetId="5" r:id="rId7"/>
    <sheet name="만두성형기 견적서" sheetId="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6" i="5" l="1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45" i="5"/>
  <c r="I64" i="5" l="1"/>
  <c r="G25" i="1"/>
  <c r="I43" i="5" l="1"/>
  <c r="I42" i="5"/>
  <c r="I40" i="5"/>
  <c r="I39" i="5"/>
  <c r="I38" i="5"/>
  <c r="I37" i="5"/>
  <c r="I36" i="5"/>
  <c r="I35" i="5"/>
  <c r="I34" i="5"/>
  <c r="I33" i="5"/>
  <c r="I32" i="5"/>
  <c r="I31" i="5"/>
  <c r="I29" i="5"/>
  <c r="E28" i="5"/>
  <c r="I28" i="5" s="1"/>
  <c r="E27" i="5"/>
  <c r="I27" i="5" s="1"/>
  <c r="I26" i="5"/>
  <c r="I25" i="5"/>
  <c r="I24" i="5"/>
  <c r="I22" i="5"/>
  <c r="I21" i="5"/>
  <c r="I20" i="5"/>
  <c r="I23" i="5" s="1"/>
  <c r="I18" i="5"/>
  <c r="I17" i="5"/>
  <c r="I16" i="5"/>
  <c r="I15" i="5"/>
  <c r="I14" i="5"/>
  <c r="I13" i="5"/>
  <c r="I11" i="5"/>
  <c r="I10" i="5"/>
  <c r="I9" i="5"/>
  <c r="I8" i="5"/>
  <c r="I7" i="5"/>
  <c r="I6" i="5"/>
  <c r="I5" i="5"/>
  <c r="I4" i="5"/>
  <c r="I12" i="5" l="1"/>
  <c r="I41" i="5"/>
  <c r="I44" i="5"/>
  <c r="I19" i="5"/>
  <c r="I30" i="5"/>
  <c r="I70" i="5" l="1"/>
  <c r="F17" i="9"/>
  <c r="F9" i="9"/>
  <c r="H11" i="7" l="1"/>
  <c r="H9" i="7"/>
  <c r="H10" i="7"/>
  <c r="H8" i="7"/>
  <c r="H7" i="7"/>
  <c r="H6" i="7"/>
  <c r="G24" i="1"/>
  <c r="H7" i="6"/>
  <c r="H15" i="6"/>
  <c r="H14" i="6"/>
  <c r="H13" i="6"/>
  <c r="H11" i="6"/>
  <c r="H10" i="6"/>
  <c r="H9" i="6"/>
  <c r="H8" i="6"/>
  <c r="H6" i="6"/>
  <c r="H5" i="6"/>
  <c r="H4" i="6"/>
  <c r="G23" i="1"/>
  <c r="H12" i="7" l="1"/>
  <c r="H16" i="6"/>
  <c r="H7" i="3"/>
  <c r="H6" i="3"/>
  <c r="H5" i="3"/>
  <c r="G21" i="1"/>
  <c r="G26" i="1"/>
  <c r="G27" i="1"/>
  <c r="G22" i="1"/>
  <c r="G20" i="1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08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69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7" i="2"/>
  <c r="G36" i="2"/>
  <c r="G35" i="2"/>
  <c r="G33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28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H10" i="3" l="1"/>
  <c r="G29" i="1"/>
  <c r="G135" i="2"/>
  <c r="G68" i="2"/>
  <c r="G107" i="2"/>
  <c r="G29" i="2"/>
  <c r="G136" i="2" l="1"/>
</calcChain>
</file>

<file path=xl/sharedStrings.xml><?xml version="1.0" encoding="utf-8"?>
<sst xmlns="http://schemas.openxmlformats.org/spreadsheetml/2006/main" count="505" uniqueCount="418">
  <si>
    <t>번호</t>
    <phoneticPr fontId="6" type="noConversion"/>
  </si>
  <si>
    <t>품    목</t>
    <phoneticPr fontId="6" type="noConversion"/>
  </si>
  <si>
    <t>규    격</t>
    <phoneticPr fontId="6" type="noConversion"/>
  </si>
  <si>
    <t>금    액</t>
    <phoneticPr fontId="6" type="noConversion"/>
  </si>
  <si>
    <t>비   고</t>
    <phoneticPr fontId="4" type="noConversion"/>
  </si>
  <si>
    <t>튀김기 옆막음판</t>
    <phoneticPr fontId="6" type="noConversion"/>
  </si>
  <si>
    <t>합 계</t>
    <phoneticPr fontId="4" type="noConversion"/>
  </si>
  <si>
    <t>주방 설비 내역서</t>
    <phoneticPr fontId="4" type="noConversion"/>
  </si>
  <si>
    <t>번호</t>
    <phoneticPr fontId="6" type="noConversion"/>
  </si>
  <si>
    <t>품    목</t>
    <phoneticPr fontId="6" type="noConversion"/>
  </si>
  <si>
    <t>규    격</t>
    <phoneticPr fontId="6" type="noConversion"/>
  </si>
  <si>
    <t>수 량</t>
    <phoneticPr fontId="6" type="noConversion"/>
  </si>
  <si>
    <t>금    액</t>
    <phoneticPr fontId="6" type="noConversion"/>
  </si>
  <si>
    <t>비   고</t>
    <phoneticPr fontId="4" type="noConversion"/>
  </si>
  <si>
    <t>가스 튀김기</t>
    <phoneticPr fontId="6" type="noConversion"/>
  </si>
  <si>
    <t>450*600*850</t>
    <phoneticPr fontId="6" type="noConversion"/>
  </si>
  <si>
    <t>튀김 작업대</t>
    <phoneticPr fontId="6" type="noConversion"/>
  </si>
  <si>
    <t>450*450*800</t>
    <phoneticPr fontId="6" type="noConversion"/>
  </si>
  <si>
    <t>우 막음</t>
    <phoneticPr fontId="6" type="noConversion"/>
  </si>
  <si>
    <t>작업대</t>
    <phoneticPr fontId="6" type="noConversion"/>
  </si>
  <si>
    <t>450*700*850</t>
    <phoneticPr fontId="6" type="noConversion"/>
  </si>
  <si>
    <t>양문 제작</t>
    <phoneticPr fontId="6" type="noConversion"/>
  </si>
  <si>
    <t>620*700*850</t>
    <phoneticPr fontId="6" type="noConversion"/>
  </si>
  <si>
    <t>전자렌지용 높게 제작</t>
    <phoneticPr fontId="6" type="noConversion"/>
  </si>
  <si>
    <t>사리냉각기(좌</t>
    <phoneticPr fontId="6" type="noConversion"/>
  </si>
  <si>
    <t>600*600*850</t>
    <phoneticPr fontId="6" type="noConversion"/>
  </si>
  <si>
    <t>해면기(6구)</t>
    <phoneticPr fontId="6" type="noConversion"/>
  </si>
  <si>
    <t>500*750*850</t>
    <phoneticPr fontId="6" type="noConversion"/>
  </si>
  <si>
    <t xml:space="preserve">까치선반 </t>
    <phoneticPr fontId="6" type="noConversion"/>
  </si>
  <si>
    <t>45box 수직 냉동냉장</t>
    <phoneticPr fontId="6" type="noConversion"/>
  </si>
  <si>
    <t>1260*800*1900</t>
    <phoneticPr fontId="6" type="noConversion"/>
  </si>
  <si>
    <t>식기 세척기</t>
    <phoneticPr fontId="6" type="noConversion"/>
  </si>
  <si>
    <t>700*700*1750</t>
    <phoneticPr fontId="6" type="noConversion"/>
  </si>
  <si>
    <t>900*700*850</t>
    <phoneticPr fontId="6" type="noConversion"/>
  </si>
  <si>
    <t>퇴식작업대</t>
    <phoneticPr fontId="6" type="noConversion"/>
  </si>
  <si>
    <t>1700*600*1040</t>
    <phoneticPr fontId="6" type="noConversion"/>
  </si>
  <si>
    <t>20각20전</t>
    <phoneticPr fontId="6" type="noConversion"/>
  </si>
  <si>
    <t>하단냉동고</t>
    <phoneticPr fontId="6" type="noConversion"/>
  </si>
  <si>
    <t>735*545*930</t>
    <phoneticPr fontId="6" type="noConversion"/>
  </si>
  <si>
    <t>음료냉장고</t>
    <phoneticPr fontId="6" type="noConversion"/>
  </si>
  <si>
    <t>650*650*1900</t>
    <phoneticPr fontId="6" type="noConversion"/>
  </si>
  <si>
    <t>전기온수기</t>
    <phoneticPr fontId="6" type="noConversion"/>
  </si>
  <si>
    <t>100L</t>
    <phoneticPr fontId="6" type="noConversion"/>
  </si>
  <si>
    <t>기형제작</t>
    <phoneticPr fontId="6" type="noConversion"/>
  </si>
  <si>
    <t>셀프냉장고</t>
    <phoneticPr fontId="6" type="noConversion"/>
  </si>
  <si>
    <t>****이하여백****</t>
    <phoneticPr fontId="6" type="noConversion"/>
  </si>
  <si>
    <t>합 계</t>
    <phoneticPr fontId="4" type="noConversion"/>
  </si>
  <si>
    <t>기물 내역서</t>
    <phoneticPr fontId="4" type="noConversion"/>
  </si>
  <si>
    <t>품    목</t>
    <phoneticPr fontId="6" type="noConversion"/>
  </si>
  <si>
    <t>6609블랙</t>
    <phoneticPr fontId="6" type="noConversion"/>
  </si>
  <si>
    <t>인쇄</t>
  </si>
  <si>
    <t>돈가스밥그릇(+공기밥)</t>
    <phoneticPr fontId="6" type="noConversion"/>
  </si>
  <si>
    <t>인쇄</t>
    <phoneticPr fontId="4" type="noConversion"/>
  </si>
  <si>
    <t>앞접시</t>
  </si>
  <si>
    <t>로하스덴다시</t>
  </si>
  <si>
    <t>인쇄</t>
    <phoneticPr fontId="4" type="noConversion"/>
  </si>
  <si>
    <t>돈가스멜라민접시</t>
    <phoneticPr fontId="6" type="noConversion"/>
  </si>
  <si>
    <t>반찬냉장고PC밧드</t>
    <phoneticPr fontId="6" type="noConversion"/>
  </si>
  <si>
    <t>투명케찹병</t>
    <phoneticPr fontId="3" type="noConversion"/>
  </si>
  <si>
    <t>투명케찹통</t>
    <phoneticPr fontId="6" type="noConversion"/>
  </si>
  <si>
    <t>양념종지</t>
  </si>
  <si>
    <t>돌산56-231미색</t>
  </si>
  <si>
    <t>소스종지</t>
  </si>
  <si>
    <t>스텐밧드/뚜껑포함</t>
    <phoneticPr fontId="6" type="noConversion"/>
  </si>
  <si>
    <t>소스용</t>
    <phoneticPr fontId="6" type="noConversion"/>
  </si>
  <si>
    <t>***이하여백***</t>
    <phoneticPr fontId="6" type="noConversion"/>
  </si>
  <si>
    <t>소 계</t>
    <phoneticPr fontId="4" type="noConversion"/>
  </si>
  <si>
    <t>기물 내역서</t>
    <phoneticPr fontId="4" type="noConversion"/>
  </si>
  <si>
    <t>단    가</t>
    <phoneticPr fontId="6" type="noConversion"/>
  </si>
  <si>
    <t>유리뚜껑</t>
    <phoneticPr fontId="6" type="noConversion"/>
  </si>
  <si>
    <t>황양푼</t>
  </si>
  <si>
    <t>황양푼180</t>
  </si>
  <si>
    <t>양푼360</t>
  </si>
  <si>
    <t>자루냄비</t>
  </si>
  <si>
    <t>에그팬</t>
  </si>
  <si>
    <t>센시블200</t>
  </si>
  <si>
    <t>채칼</t>
  </si>
  <si>
    <t>독일V채칼</t>
  </si>
  <si>
    <t>크림샷다/밥주걱용</t>
    <phoneticPr fontId="6" type="noConversion"/>
  </si>
  <si>
    <t>참모칼-타공</t>
  </si>
  <si>
    <t>소도와</t>
    <phoneticPr fontId="3" type="noConversion"/>
  </si>
  <si>
    <t>주방빗자루</t>
  </si>
  <si>
    <t>나이론비</t>
  </si>
  <si>
    <t>책받침도마</t>
    <phoneticPr fontId="6" type="noConversion"/>
  </si>
  <si>
    <t>원형소쿠리</t>
  </si>
  <si>
    <t>미니 원형소쿠리</t>
    <phoneticPr fontId="6" type="noConversion"/>
  </si>
  <si>
    <t>미니4호</t>
  </si>
  <si>
    <t>미니 원형소쿠리</t>
    <phoneticPr fontId="6" type="noConversion"/>
  </si>
  <si>
    <t>미니3호</t>
  </si>
  <si>
    <t>후레쉬밀폐</t>
    <phoneticPr fontId="6" type="noConversion"/>
  </si>
  <si>
    <t>마마 소소</t>
    <phoneticPr fontId="6" type="noConversion"/>
  </si>
  <si>
    <t>후레쉬밀폐</t>
    <phoneticPr fontId="6" type="noConversion"/>
  </si>
  <si>
    <t>마마 4호</t>
    <phoneticPr fontId="6" type="noConversion"/>
  </si>
  <si>
    <t>스픈 특대</t>
    <phoneticPr fontId="6" type="noConversion"/>
  </si>
  <si>
    <t>쓰레기통</t>
  </si>
  <si>
    <t>월드6호</t>
  </si>
  <si>
    <t>양념통4구용(사각)</t>
  </si>
  <si>
    <t>소스물통</t>
  </si>
  <si>
    <t>락앤락물병735</t>
  </si>
  <si>
    <t>위생도마</t>
  </si>
  <si>
    <t>노랑 가정용3호</t>
    <phoneticPr fontId="6" type="noConversion"/>
  </si>
  <si>
    <t>빨강 가정용3호</t>
    <phoneticPr fontId="6" type="noConversion"/>
  </si>
  <si>
    <t>자루바가지</t>
  </si>
  <si>
    <t>대</t>
  </si>
  <si>
    <t>P용기25L</t>
    <phoneticPr fontId="6" type="noConversion"/>
  </si>
  <si>
    <t>플라스틱물병</t>
    <phoneticPr fontId="6" type="noConversion"/>
  </si>
  <si>
    <t>1L</t>
    <phoneticPr fontId="6" type="noConversion"/>
  </si>
  <si>
    <t>돈가스꽂이</t>
    <phoneticPr fontId="6" type="noConversion"/>
  </si>
  <si>
    <t>갈색</t>
    <phoneticPr fontId="6" type="noConversion"/>
  </si>
  <si>
    <t>과도</t>
    <phoneticPr fontId="6" type="noConversion"/>
  </si>
  <si>
    <t>뼈통</t>
    <phoneticPr fontId="6" type="noConversion"/>
  </si>
  <si>
    <t>소</t>
    <phoneticPr fontId="6" type="noConversion"/>
  </si>
  <si>
    <t>육수손질통</t>
    <phoneticPr fontId="6" type="noConversion"/>
  </si>
  <si>
    <t>식용유기름용스푼(1온스)</t>
  </si>
  <si>
    <t>슾국자</t>
    <phoneticPr fontId="3" type="noConversion"/>
  </si>
  <si>
    <t>3온스</t>
  </si>
  <si>
    <t>4온스</t>
  </si>
  <si>
    <t>빠스푼</t>
    <phoneticPr fontId="6" type="noConversion"/>
  </si>
  <si>
    <t>육수국자</t>
    <phoneticPr fontId="6" type="noConversion"/>
  </si>
  <si>
    <t>미니핸들 중</t>
    <phoneticPr fontId="6" type="noConversion"/>
  </si>
  <si>
    <t>육수국자</t>
  </si>
  <si>
    <t>아미</t>
  </si>
  <si>
    <t>소 1호</t>
    <phoneticPr fontId="6" type="noConversion"/>
  </si>
  <si>
    <t>포크</t>
    <phoneticPr fontId="3" type="noConversion"/>
  </si>
  <si>
    <t>나이프</t>
    <phoneticPr fontId="3" type="noConversion"/>
  </si>
  <si>
    <t>일반가스총(충전용)</t>
  </si>
  <si>
    <t>스파크</t>
  </si>
  <si>
    <t>우동건지게</t>
    <phoneticPr fontId="3" type="noConversion"/>
  </si>
  <si>
    <t>보강 용접</t>
    <phoneticPr fontId="6" type="noConversion"/>
  </si>
  <si>
    <t>반찬 주름집게</t>
    <phoneticPr fontId="6" type="noConversion"/>
  </si>
  <si>
    <t>주름빵집게특대</t>
    <phoneticPr fontId="6" type="noConversion"/>
  </si>
  <si>
    <t>집게</t>
    <phoneticPr fontId="3" type="noConversion"/>
  </si>
  <si>
    <t>반찬집게 14cm</t>
    <phoneticPr fontId="6" type="noConversion"/>
  </si>
  <si>
    <t>***이하여백***</t>
    <phoneticPr fontId="6" type="noConversion"/>
  </si>
  <si>
    <t>소 계</t>
    <phoneticPr fontId="4" type="noConversion"/>
  </si>
  <si>
    <t>집게 (25CM)</t>
    <phoneticPr fontId="6" type="noConversion"/>
  </si>
  <si>
    <t>악어</t>
    <phoneticPr fontId="6" type="noConversion"/>
  </si>
  <si>
    <t>네프킨함</t>
    <phoneticPr fontId="6" type="noConversion"/>
  </si>
  <si>
    <t>대나무티슈함</t>
    <phoneticPr fontId="6" type="noConversion"/>
  </si>
  <si>
    <t>전자레인지</t>
    <phoneticPr fontId="6" type="noConversion"/>
  </si>
  <si>
    <t>전기압력밥솥</t>
    <phoneticPr fontId="3" type="noConversion"/>
  </si>
  <si>
    <t>30인</t>
    <phoneticPr fontId="3" type="noConversion"/>
  </si>
  <si>
    <t>수저저분</t>
    <phoneticPr fontId="6" type="noConversion"/>
  </si>
  <si>
    <t>세트</t>
    <phoneticPr fontId="6" type="noConversion"/>
  </si>
  <si>
    <t>튀김저분</t>
    <phoneticPr fontId="6" type="noConversion"/>
  </si>
  <si>
    <t>다께바시</t>
    <phoneticPr fontId="6" type="noConversion"/>
  </si>
  <si>
    <t>오프너</t>
    <phoneticPr fontId="3" type="noConversion"/>
  </si>
  <si>
    <t>점보스텐깡통따개</t>
    <phoneticPr fontId="3" type="noConversion"/>
  </si>
  <si>
    <t>오더렉</t>
    <phoneticPr fontId="3" type="noConversion"/>
  </si>
  <si>
    <t>냉면용가위</t>
    <phoneticPr fontId="6" type="noConversion"/>
  </si>
  <si>
    <t>양손가위</t>
    <phoneticPr fontId="6" type="noConversion"/>
  </si>
  <si>
    <t>양배추칼</t>
  </si>
  <si>
    <t>와이드채칼</t>
  </si>
  <si>
    <t>전자저울 大</t>
    <phoneticPr fontId="6" type="noConversion"/>
  </si>
  <si>
    <t>카스20K</t>
  </si>
  <si>
    <t>이중스텐</t>
    <phoneticPr fontId="6" type="noConversion"/>
  </si>
  <si>
    <t>냉장고선반</t>
    <phoneticPr fontId="6" type="noConversion"/>
  </si>
  <si>
    <t>45 박스</t>
    <phoneticPr fontId="6" type="noConversion"/>
  </si>
  <si>
    <t>노른자 분리기</t>
    <phoneticPr fontId="6" type="noConversion"/>
  </si>
  <si>
    <t>컵 자외선 소독기</t>
    <phoneticPr fontId="6" type="noConversion"/>
  </si>
  <si>
    <t>소 계</t>
    <phoneticPr fontId="6" type="noConversion"/>
  </si>
  <si>
    <t>규    격</t>
    <phoneticPr fontId="6" type="noConversion"/>
  </si>
  <si>
    <t>단    가</t>
    <phoneticPr fontId="6" type="noConversion"/>
  </si>
  <si>
    <t>국물그릇</t>
    <phoneticPr fontId="6" type="noConversion"/>
  </si>
  <si>
    <t>만두 접시</t>
    <phoneticPr fontId="6" type="noConversion"/>
  </si>
  <si>
    <t>반찬 종지</t>
    <phoneticPr fontId="6" type="noConversion"/>
  </si>
  <si>
    <t>미니우동</t>
    <phoneticPr fontId="3" type="noConversion"/>
  </si>
  <si>
    <t>6592 엔틱</t>
    <phoneticPr fontId="3" type="noConversion"/>
  </si>
  <si>
    <t>6918엔틱블랙</t>
    <phoneticPr fontId="6" type="noConversion"/>
  </si>
  <si>
    <t>인쇄</t>
    <phoneticPr fontId="4" type="noConversion"/>
  </si>
  <si>
    <t>돈가스멜라민접시</t>
    <phoneticPr fontId="6" type="noConversion"/>
  </si>
  <si>
    <t>그린</t>
    <phoneticPr fontId="6" type="noConversion"/>
  </si>
  <si>
    <t>국수그릇</t>
    <phoneticPr fontId="6" type="noConversion"/>
  </si>
  <si>
    <t>멜라민 클로버</t>
    <phoneticPr fontId="6" type="noConversion"/>
  </si>
  <si>
    <t>반찬냉장고PC밧드</t>
    <phoneticPr fontId="6" type="noConversion"/>
  </si>
  <si>
    <t>PC드레인</t>
    <phoneticPr fontId="6" type="noConversion"/>
  </si>
  <si>
    <t>1/6</t>
    <phoneticPr fontId="6" type="noConversion"/>
  </si>
  <si>
    <t>550 특대</t>
    <phoneticPr fontId="6" type="noConversion"/>
  </si>
  <si>
    <t>350 중</t>
    <phoneticPr fontId="6" type="noConversion"/>
  </si>
  <si>
    <t>투명케찹병</t>
    <phoneticPr fontId="3" type="noConversion"/>
  </si>
  <si>
    <t>250 소</t>
    <phoneticPr fontId="6" type="noConversion"/>
  </si>
  <si>
    <t>쟁반</t>
    <phoneticPr fontId="6" type="noConversion"/>
  </si>
  <si>
    <t>9ㅡ22</t>
    <phoneticPr fontId="6" type="noConversion"/>
  </si>
  <si>
    <t>버터볼 검정</t>
    <phoneticPr fontId="6" type="noConversion"/>
  </si>
  <si>
    <t>스텐밧드/뚜껑포함</t>
    <phoneticPr fontId="6" type="noConversion"/>
  </si>
  <si>
    <t>스텐밧드/구멍뚜껑포함</t>
    <phoneticPr fontId="6" type="noConversion"/>
  </si>
  <si>
    <t>철브러쉬</t>
    <phoneticPr fontId="6" type="noConversion"/>
  </si>
  <si>
    <t>대</t>
    <phoneticPr fontId="6" type="noConversion"/>
  </si>
  <si>
    <t>온열육수통</t>
    <phoneticPr fontId="6" type="noConversion"/>
  </si>
  <si>
    <t>한양코드분리형20L</t>
    <phoneticPr fontId="6" type="noConversion"/>
  </si>
  <si>
    <t>손잡이 스텐물병</t>
    <phoneticPr fontId="6" type="noConversion"/>
  </si>
  <si>
    <t>1.3L</t>
    <phoneticPr fontId="6" type="noConversion"/>
  </si>
  <si>
    <t>***이하여백***</t>
    <phoneticPr fontId="6" type="noConversion"/>
  </si>
  <si>
    <t>소 계</t>
    <phoneticPr fontId="4" type="noConversion"/>
  </si>
  <si>
    <t>기물 내역서</t>
    <phoneticPr fontId="4" type="noConversion"/>
  </si>
  <si>
    <t>수 량</t>
    <phoneticPr fontId="6" type="noConversion"/>
  </si>
  <si>
    <t>T유리18</t>
    <phoneticPr fontId="6" type="noConversion"/>
  </si>
  <si>
    <t>나무절구공이</t>
    <phoneticPr fontId="6" type="noConversion"/>
  </si>
  <si>
    <t>中</t>
    <phoneticPr fontId="6" type="noConversion"/>
  </si>
  <si>
    <t>S/T냉면기</t>
    <phoneticPr fontId="6" type="noConversion"/>
  </si>
  <si>
    <t>파도이중</t>
    <phoneticPr fontId="6" type="noConversion"/>
  </si>
  <si>
    <t>양은양푼</t>
    <phoneticPr fontId="4" type="noConversion"/>
  </si>
  <si>
    <t>왕대 310</t>
    <phoneticPr fontId="6" type="noConversion"/>
  </si>
  <si>
    <t>대 260</t>
    <phoneticPr fontId="6" type="noConversion"/>
  </si>
  <si>
    <t>디지탈타이머</t>
    <phoneticPr fontId="6" type="noConversion"/>
  </si>
  <si>
    <t>전자저울 小</t>
    <phoneticPr fontId="6" type="noConversion"/>
  </si>
  <si>
    <t>접시저울2K</t>
    <phoneticPr fontId="6" type="noConversion"/>
  </si>
  <si>
    <t>#10</t>
    <phoneticPr fontId="6" type="noConversion"/>
  </si>
  <si>
    <t>검정</t>
    <phoneticPr fontId="6" type="noConversion"/>
  </si>
  <si>
    <t>파랑</t>
    <phoneticPr fontId="6" type="noConversion"/>
  </si>
  <si>
    <t>빨강</t>
    <phoneticPr fontId="6" type="noConversion"/>
  </si>
  <si>
    <t>15GL</t>
    <phoneticPr fontId="3" type="noConversion"/>
  </si>
  <si>
    <t>시트도마</t>
    <phoneticPr fontId="6" type="noConversion"/>
  </si>
  <si>
    <t>만능사각소쿠리</t>
    <phoneticPr fontId="6" type="noConversion"/>
  </si>
  <si>
    <t>깊은 3호</t>
    <phoneticPr fontId="6" type="noConversion"/>
  </si>
  <si>
    <t>깊은 2호</t>
    <phoneticPr fontId="6" type="noConversion"/>
  </si>
  <si>
    <t>7 호</t>
    <phoneticPr fontId="6" type="noConversion"/>
  </si>
  <si>
    <t>6 호</t>
    <phoneticPr fontId="6" type="noConversion"/>
  </si>
  <si>
    <t>5 호</t>
    <phoneticPr fontId="6" type="noConversion"/>
  </si>
  <si>
    <t>1 호</t>
    <phoneticPr fontId="6" type="noConversion"/>
  </si>
  <si>
    <t>마마 1호</t>
    <phoneticPr fontId="6" type="noConversion"/>
  </si>
  <si>
    <t>마마 2호</t>
    <phoneticPr fontId="6" type="noConversion"/>
  </si>
  <si>
    <t>후레쉬밀폐</t>
    <phoneticPr fontId="6" type="noConversion"/>
  </si>
  <si>
    <t>백밀폐</t>
    <phoneticPr fontId="6" type="noConversion"/>
  </si>
  <si>
    <t>8 호</t>
    <phoneticPr fontId="6" type="noConversion"/>
  </si>
  <si>
    <t>멜라민볶음주걱</t>
    <phoneticPr fontId="6" type="noConversion"/>
  </si>
  <si>
    <t>스픈 대</t>
    <phoneticPr fontId="6" type="noConversion"/>
  </si>
  <si>
    <t>멜라민볶음주걱</t>
    <phoneticPr fontId="6" type="noConversion"/>
  </si>
  <si>
    <t>청통25L</t>
    <phoneticPr fontId="6" type="noConversion"/>
  </si>
  <si>
    <t>미니케찹병</t>
    <phoneticPr fontId="6" type="noConversion"/>
  </si>
  <si>
    <t>접시꽂이8구</t>
    <phoneticPr fontId="6" type="noConversion"/>
  </si>
  <si>
    <t>린넨</t>
    <phoneticPr fontId="3" type="noConversion"/>
  </si>
  <si>
    <t>가위통</t>
    <phoneticPr fontId="6" type="noConversion"/>
  </si>
  <si>
    <t>소스4호</t>
    <phoneticPr fontId="6" type="noConversion"/>
  </si>
  <si>
    <t>수저통</t>
    <phoneticPr fontId="6" type="noConversion"/>
  </si>
  <si>
    <t>BMP2호</t>
    <phoneticPr fontId="6" type="noConversion"/>
  </si>
  <si>
    <t>BMP6호</t>
    <phoneticPr fontId="6" type="noConversion"/>
  </si>
  <si>
    <t>1온스</t>
    <phoneticPr fontId="6" type="noConversion"/>
  </si>
  <si>
    <t>S고리</t>
    <phoneticPr fontId="6" type="noConversion"/>
  </si>
  <si>
    <t>미니핸들 소</t>
    <phoneticPr fontId="6" type="noConversion"/>
  </si>
  <si>
    <t>샤꾸중 600</t>
    <phoneticPr fontId="6" type="noConversion"/>
  </si>
  <si>
    <t>대 3호</t>
    <phoneticPr fontId="6" type="noConversion"/>
  </si>
  <si>
    <t>900MM</t>
    <phoneticPr fontId="3" type="noConversion"/>
  </si>
  <si>
    <t>물잔</t>
    <phoneticPr fontId="6" type="noConversion"/>
  </si>
  <si>
    <t>스텐</t>
    <phoneticPr fontId="6" type="noConversion"/>
  </si>
  <si>
    <t>365*265*350</t>
    <phoneticPr fontId="6" type="noConversion"/>
  </si>
  <si>
    <t>보급형</t>
    <phoneticPr fontId="3" type="noConversion"/>
  </si>
  <si>
    <t>규격은 현장에 따라 변화</t>
    <phoneticPr fontId="3" type="noConversion"/>
  </si>
  <si>
    <t>한개는전자렌지용 높게 제작</t>
    <phoneticPr fontId="6" type="noConversion"/>
  </si>
  <si>
    <t>찬냉장고(우</t>
    <phoneticPr fontId="6" type="noConversion"/>
  </si>
  <si>
    <t>만두기 채반</t>
    <phoneticPr fontId="3" type="noConversion"/>
  </si>
  <si>
    <t>스텐(소) 330*70</t>
    <phoneticPr fontId="3" type="noConversion"/>
  </si>
  <si>
    <t>개수</t>
    <phoneticPr fontId="6" type="noConversion"/>
  </si>
  <si>
    <t>금액</t>
    <phoneticPr fontId="4" type="noConversion"/>
  </si>
  <si>
    <t>규격</t>
    <phoneticPr fontId="3" type="noConversion"/>
  </si>
  <si>
    <t>수직 냉동 쇼케이스 직냉식</t>
    <phoneticPr fontId="3" type="noConversion"/>
  </si>
  <si>
    <t>중대형 냉장 쇼케이스</t>
    <phoneticPr fontId="3" type="noConversion"/>
  </si>
  <si>
    <t>예스토어
(https://yestore.kr/)</t>
    <phoneticPr fontId="3" type="noConversion"/>
  </si>
  <si>
    <t>참고</t>
    <phoneticPr fontId="4" type="noConversion"/>
  </si>
  <si>
    <t>SMS-DS-ATB3 
조합세트심플랙 
스틸 아치 탑배너 
단면 진열대3높이</t>
    <phoneticPr fontId="3" type="noConversion"/>
  </si>
  <si>
    <t>교자 성형기(만두기계)</t>
    <phoneticPr fontId="3" type="noConversion"/>
  </si>
  <si>
    <t>중국제</t>
    <phoneticPr fontId="3" type="noConversion"/>
  </si>
  <si>
    <t>합계 금액 / 쇼게이스 개수 조정 가능</t>
    <phoneticPr fontId="3" type="noConversion"/>
  </si>
  <si>
    <t>상품판매 설비(쇼케이스 및 냉장고)</t>
    <phoneticPr fontId="3" type="noConversion"/>
  </si>
  <si>
    <t xml:space="preserve"> 전격서 첨부</t>
    <phoneticPr fontId="3" type="noConversion"/>
  </si>
  <si>
    <t>전자동 / 스팀기</t>
    <phoneticPr fontId="3" type="noConversion"/>
  </si>
  <si>
    <t>공정</t>
    <phoneticPr fontId="6" type="noConversion"/>
  </si>
  <si>
    <t>기타</t>
    <phoneticPr fontId="3" type="noConversion"/>
  </si>
  <si>
    <t>*** 본 견적은 홀 마감 미포함 입니다 ***</t>
    <phoneticPr fontId="3" type="noConversion"/>
  </si>
  <si>
    <t>맬라민 상판 탁자</t>
    <phoneticPr fontId="3" type="noConversion"/>
  </si>
  <si>
    <t>1200*700</t>
    <phoneticPr fontId="3" type="noConversion"/>
  </si>
  <si>
    <t>600*700</t>
    <phoneticPr fontId="3" type="noConversion"/>
  </si>
  <si>
    <t>구성스펙변경시 단가 가감</t>
    <phoneticPr fontId="3" type="noConversion"/>
  </si>
  <si>
    <t>의 탁자</t>
    <phoneticPr fontId="3" type="noConversion"/>
  </si>
  <si>
    <t>의자</t>
    <phoneticPr fontId="3" type="noConversion"/>
  </si>
  <si>
    <t>홀 의탁자</t>
    <phoneticPr fontId="4" type="noConversion"/>
  </si>
  <si>
    <t>만두보일러 기기 2구</t>
    <phoneticPr fontId="6" type="noConversion"/>
  </si>
  <si>
    <t>12K 전력</t>
    <phoneticPr fontId="3" type="noConversion"/>
  </si>
  <si>
    <t>창가블라인드</t>
    <phoneticPr fontId="3" type="noConversion"/>
  </si>
  <si>
    <t>10인용 테이블</t>
    <phoneticPr fontId="3" type="noConversion"/>
  </si>
  <si>
    <t>선반장</t>
    <phoneticPr fontId="3" type="noConversion"/>
  </si>
  <si>
    <t>650W*670D*1950H</t>
    <phoneticPr fontId="3" type="noConversion"/>
  </si>
  <si>
    <t>670W*600D*1950H</t>
    <phoneticPr fontId="3" type="noConversion"/>
  </si>
  <si>
    <t>900W*360D*2000H</t>
    <phoneticPr fontId="3" type="noConversion"/>
  </si>
  <si>
    <t>1200W*400D*1800H</t>
    <phoneticPr fontId="3" type="noConversion"/>
  </si>
  <si>
    <t>설계 벽면에 따름</t>
    <phoneticPr fontId="3" type="noConversion"/>
  </si>
  <si>
    <t>카페의자(예시)</t>
    <phoneticPr fontId="3" type="noConversion"/>
  </si>
  <si>
    <t>https://item.gmarket.co.kr/Item?goodscode=4371495453</t>
    <phoneticPr fontId="3" type="noConversion"/>
  </si>
  <si>
    <t>https://item.gmarket.co.kr/Item?goodscode=4361501847&amp;buyboxtype=ad</t>
    <phoneticPr fontId="3" type="noConversion"/>
  </si>
  <si>
    <t>길이 1500</t>
    <phoneticPr fontId="3" type="noConversion"/>
  </si>
  <si>
    <t>사무용 의자</t>
    <phoneticPr fontId="3" type="noConversion"/>
  </si>
  <si>
    <t>사무용 책상</t>
    <phoneticPr fontId="3" type="noConversion"/>
  </si>
  <si>
    <t>https://m.dodadak.com/product/%EB%91%90%EB%8B%A4%EB%8B%A5-%EB%A7%88%ED%85%8C%EB%9D%BC-lpm-%EC%95%9E%EA%B0%80%EB%A6%BC-%EC%B2%A0%EC%9E%AC%EC%B1%85%EC%83%81-1200-1500-1800/304/category/51/display/1/#start</t>
    <phoneticPr fontId="3" type="noConversion"/>
  </si>
  <si>
    <t>https://www.leanback.co.kr/goods/goods_view.php?goodsNo=1000000034&amp;gad_source=1&amp;gclid=Cj0KCQjwqcO_BhDaARIsACz62vOsBJnRo7LnvpNrvBDZJMGyEpEHpwzR-oSLGRZZjxbpxFIUB2Slml0aAv_cEALw_wcB</t>
    <phoneticPr fontId="3" type="noConversion"/>
  </si>
  <si>
    <t>조달청 참고
https://shop.g2b.go.kr/</t>
    <phoneticPr fontId="3" type="noConversion"/>
  </si>
  <si>
    <t xml:space="preserve">전자레인지(1000w) / 옥상용 </t>
    <phoneticPr fontId="3" type="noConversion"/>
  </si>
  <si>
    <t>인덕션 / 옥상용</t>
    <phoneticPr fontId="3" type="noConversion"/>
  </si>
  <si>
    <t>운반 설치 인건비</t>
    <phoneticPr fontId="3" type="noConversion"/>
  </si>
  <si>
    <t>수저통(탁자 부착)</t>
    <phoneticPr fontId="3" type="noConversion"/>
  </si>
  <si>
    <t>주방설비</t>
    <phoneticPr fontId="6" type="noConversion"/>
  </si>
  <si>
    <t>자산성</t>
    <phoneticPr fontId="6" type="noConversion"/>
  </si>
  <si>
    <t>자산성</t>
    <phoneticPr fontId="6" type="noConversion"/>
  </si>
  <si>
    <t>식당 홀 의탁자</t>
    <phoneticPr fontId="3" type="noConversion"/>
  </si>
  <si>
    <t>사회적기업 공간</t>
    <phoneticPr fontId="3" type="noConversion"/>
  </si>
  <si>
    <t>합계</t>
    <phoneticPr fontId="3" type="noConversion"/>
  </si>
  <si>
    <t>다산공간복지홈 설비 내역서</t>
    <phoneticPr fontId="4" type="noConversion"/>
  </si>
  <si>
    <t>소모성 자부담</t>
    <phoneticPr fontId="3" type="noConversion"/>
  </si>
  <si>
    <t>식품공동구매 활동</t>
    <phoneticPr fontId="3" type="noConversion"/>
  </si>
  <si>
    <t>O.A 등은 자부담</t>
    <phoneticPr fontId="3" type="noConversion"/>
  </si>
  <si>
    <t>인테리어와 상의 필요</t>
    <phoneticPr fontId="3" type="noConversion"/>
  </si>
  <si>
    <r>
      <t xml:space="preserve">요청사항 / </t>
    </r>
    <r>
      <rPr>
        <b/>
        <sz val="16"/>
        <rFont val="굴림"/>
        <family val="3"/>
        <charset val="129"/>
      </rPr>
      <t>주방 및 홀 일부 공사</t>
    </r>
    <phoneticPr fontId="4" type="noConversion"/>
  </si>
  <si>
    <t>로스10%</t>
    <phoneticPr fontId="3" type="noConversion"/>
  </si>
  <si>
    <t>조</t>
    <phoneticPr fontId="3" type="noConversion"/>
  </si>
  <si>
    <t>75A 배관공사</t>
    <phoneticPr fontId="3" type="noConversion"/>
  </si>
  <si>
    <t>식</t>
    <phoneticPr fontId="3" type="noConversion"/>
  </si>
  <si>
    <t>식</t>
    <phoneticPr fontId="3" type="noConversion"/>
  </si>
  <si>
    <t>15A 에이콘 배관 상수</t>
    <phoneticPr fontId="3" type="noConversion"/>
  </si>
  <si>
    <t>그리스트렙 유수분리 400*400</t>
    <phoneticPr fontId="3" type="noConversion"/>
  </si>
  <si>
    <t>레미탈 8M3</t>
    <phoneticPr fontId="3" type="noConversion"/>
  </si>
  <si>
    <t>포</t>
    <phoneticPr fontId="3" type="noConversion"/>
  </si>
  <si>
    <t>방수1차 액방</t>
    <phoneticPr fontId="3" type="noConversion"/>
  </si>
  <si>
    <t>소        계</t>
    <phoneticPr fontId="3" type="noConversion"/>
  </si>
  <si>
    <t xml:space="preserve">단 </t>
    <phoneticPr fontId="3" type="noConversion"/>
  </si>
  <si>
    <t>M2</t>
    <phoneticPr fontId="3" type="noConversion"/>
  </si>
  <si>
    <t>소        계</t>
    <phoneticPr fontId="3" type="noConversion"/>
  </si>
  <si>
    <t>저소음</t>
    <phoneticPr fontId="3" type="noConversion"/>
  </si>
  <si>
    <t>시로코펜만두,해면기 2400 CMH</t>
    <phoneticPr fontId="3" type="noConversion"/>
  </si>
  <si>
    <t>스텐후드 1200*1000</t>
    <phoneticPr fontId="3" type="noConversion"/>
  </si>
  <si>
    <t>위치에 따라 금액 가감</t>
    <phoneticPr fontId="3" type="noConversion"/>
  </si>
  <si>
    <t>시설분담금별도</t>
    <phoneticPr fontId="3" type="noConversion"/>
  </si>
  <si>
    <t>주방 설비 인테리어</t>
    <phoneticPr fontId="4" type="noConversion"/>
  </si>
  <si>
    <t>번호</t>
    <phoneticPr fontId="6" type="noConversion"/>
  </si>
  <si>
    <t>공  정</t>
    <phoneticPr fontId="6" type="noConversion"/>
  </si>
  <si>
    <t>규격/내용</t>
    <phoneticPr fontId="3" type="noConversion"/>
  </si>
  <si>
    <t>단위</t>
    <phoneticPr fontId="6" type="noConversion"/>
  </si>
  <si>
    <t>수 량</t>
    <phoneticPr fontId="6" type="noConversion"/>
  </si>
  <si>
    <t>인건비</t>
    <phoneticPr fontId="3" type="noConversion"/>
  </si>
  <si>
    <t>자재비</t>
    <phoneticPr fontId="3" type="noConversion"/>
  </si>
  <si>
    <t>경비/장비</t>
    <phoneticPr fontId="3" type="noConversion"/>
  </si>
  <si>
    <t>합 계</t>
    <phoneticPr fontId="6" type="noConversion"/>
  </si>
  <si>
    <t>비고</t>
    <phoneticPr fontId="4" type="noConversion"/>
  </si>
  <si>
    <t>상하수 설비</t>
    <phoneticPr fontId="3" type="noConversion"/>
  </si>
  <si>
    <t>조적공사</t>
    <phoneticPr fontId="3" type="noConversion"/>
  </si>
  <si>
    <t>장</t>
    <phoneticPr fontId="3" type="noConversion"/>
  </si>
  <si>
    <t>하수 트렌지 1500</t>
    <phoneticPr fontId="3" type="noConversion"/>
  </si>
  <si>
    <t>식</t>
    <phoneticPr fontId="3" type="noConversion"/>
  </si>
  <si>
    <t>식</t>
    <phoneticPr fontId="3" type="noConversion"/>
  </si>
  <si>
    <t>방수2차 고막스방수</t>
    <phoneticPr fontId="3" type="noConversion"/>
  </si>
  <si>
    <t>벽체구성</t>
    <phoneticPr fontId="3" type="noConversion"/>
  </si>
  <si>
    <t>가배 조성 30*30 각제</t>
    <phoneticPr fontId="3" type="noConversion"/>
  </si>
  <si>
    <t>로스15%</t>
    <phoneticPr fontId="3" type="noConversion"/>
  </si>
  <si>
    <t>가벽 조성 30*69 각제</t>
    <phoneticPr fontId="3" type="noConversion"/>
  </si>
  <si>
    <t>석고 벽체 조성</t>
    <phoneticPr fontId="3" type="noConversion"/>
  </si>
  <si>
    <t xml:space="preserve">장 </t>
    <phoneticPr fontId="3" type="noConversion"/>
  </si>
  <si>
    <t>방수석고 벽체 조성</t>
    <phoneticPr fontId="3" type="noConversion"/>
  </si>
  <si>
    <t>기타마감 재료분리대</t>
    <phoneticPr fontId="3" type="noConversion"/>
  </si>
  <si>
    <t>천정조성 및 수성도장 별도</t>
    <phoneticPr fontId="3" type="noConversion"/>
  </si>
  <si>
    <t>주방전기설비</t>
    <phoneticPr fontId="3" type="noConversion"/>
  </si>
  <si>
    <t>주방 전열 구성</t>
    <phoneticPr fontId="3" type="noConversion"/>
  </si>
  <si>
    <t>주방 전등 구성</t>
    <phoneticPr fontId="3" type="noConversion"/>
  </si>
  <si>
    <t xml:space="preserve">조명시공 </t>
    <phoneticPr fontId="3" type="noConversion"/>
  </si>
  <si>
    <t>타일마감
H:2200</t>
    <phoneticPr fontId="3" type="noConversion"/>
  </si>
  <si>
    <t>주방벽타일 시공 400*250</t>
    <phoneticPr fontId="3" type="noConversion"/>
  </si>
  <si>
    <t>주방바닥시공 200*200</t>
    <phoneticPr fontId="3" type="noConversion"/>
  </si>
  <si>
    <t>주방바닥 고강도 석타일시공</t>
    <phoneticPr fontId="3" type="noConversion"/>
  </si>
  <si>
    <t>줄눈시공</t>
    <phoneticPr fontId="3" type="noConversion"/>
  </si>
  <si>
    <t>압착 및 세라픽스 외</t>
    <phoneticPr fontId="3" type="noConversion"/>
  </si>
  <si>
    <t>코너비트 및 재료분리대 시공</t>
    <phoneticPr fontId="3" type="noConversion"/>
  </si>
  <si>
    <t>급배기덕트시설</t>
    <phoneticPr fontId="3" type="noConversion"/>
  </si>
  <si>
    <t>박스형   시로코펜 불판 4500 CMH</t>
    <phoneticPr fontId="3" type="noConversion"/>
  </si>
  <si>
    <t>시로코펜 튀김기 3800 CMH</t>
    <phoneticPr fontId="3" type="noConversion"/>
  </si>
  <si>
    <t>2중 스텐후드  3100*900</t>
    <phoneticPr fontId="3" type="noConversion"/>
  </si>
  <si>
    <t>2중 스텐후드  1100*700</t>
    <phoneticPr fontId="3" type="noConversion"/>
  </si>
  <si>
    <t>스텐후드  1100*850</t>
    <phoneticPr fontId="3" type="noConversion"/>
  </si>
  <si>
    <t>내부 배관 및 잡자재</t>
    <phoneticPr fontId="3" type="noConversion"/>
  </si>
  <si>
    <t>급배기기 그릴</t>
    <phoneticPr fontId="3" type="noConversion"/>
  </si>
  <si>
    <t>자연급기</t>
    <phoneticPr fontId="3" type="noConversion"/>
  </si>
  <si>
    <t>외부 배관작업(협의필요)</t>
    <phoneticPr fontId="3" type="noConversion"/>
  </si>
  <si>
    <t>가스</t>
    <phoneticPr fontId="3" type="noConversion"/>
  </si>
  <si>
    <t>가스설비 16등급</t>
    <phoneticPr fontId="3" type="noConversion"/>
  </si>
  <si>
    <t>****이하여백****</t>
    <phoneticPr fontId="6" type="noConversion"/>
  </si>
  <si>
    <t>주방공사</t>
    <phoneticPr fontId="6" type="noConversion"/>
  </si>
  <si>
    <t>주방설비인테리어</t>
    <phoneticPr fontId="3" type="noConversion"/>
  </si>
  <si>
    <t>별도 견적서 참조         (시트7 주방공사)</t>
    <phoneticPr fontId="3" type="noConversion"/>
  </si>
  <si>
    <t>상품판매 설비 및 옥상(쇼케이스 및 냉장고)</t>
    <phoneticPr fontId="3" type="noConversion"/>
  </si>
  <si>
    <t>만두제작용</t>
    <phoneticPr fontId="3" type="noConversion"/>
  </si>
  <si>
    <t>슬러시육수냉장고</t>
    <phoneticPr fontId="6" type="noConversion"/>
  </si>
  <si>
    <t>420*420*970</t>
    <phoneticPr fontId="6" type="noConversion"/>
  </si>
  <si>
    <t>냉면육수 슬러시용</t>
    <phoneticPr fontId="3" type="noConversion"/>
  </si>
  <si>
    <t>상품판매 및 옥상 설비</t>
    <phoneticPr fontId="3" type="noConversion"/>
  </si>
  <si>
    <t>무인 커피머신기</t>
    <phoneticPr fontId="3" type="noConversion"/>
  </si>
  <si>
    <t xml:space="preserve">KALRM(칼렘) 중고 </t>
    <phoneticPr fontId="3" type="noConversion"/>
  </si>
  <si>
    <t>1조 싱크대 450*600*850</t>
    <phoneticPr fontId="6" type="noConversion"/>
  </si>
  <si>
    <t>면선반 900*250*250</t>
    <phoneticPr fontId="6" type="noConversion"/>
  </si>
  <si>
    <t>벽선반1800*350*550</t>
    <phoneticPr fontId="6" type="noConversion"/>
  </si>
  <si>
    <t>작업대 1090*490*800</t>
    <phoneticPr fontId="6" type="noConversion"/>
  </si>
  <si>
    <t>간택기1 1250*600*850</t>
    <phoneticPr fontId="6" type="noConversion"/>
  </si>
  <si>
    <t>간택기2 1250*200*850</t>
    <phoneticPr fontId="6" type="noConversion"/>
  </si>
  <si>
    <t>까치선반 1500*250*250</t>
    <phoneticPr fontId="6" type="noConversion"/>
  </si>
  <si>
    <t>청소수도설치 15A</t>
    <phoneticPr fontId="6" type="noConversion"/>
  </si>
  <si>
    <t>벽선반 700*350*550</t>
    <phoneticPr fontId="6" type="noConversion"/>
  </si>
  <si>
    <t>배식대상판 2114*660*30</t>
    <phoneticPr fontId="6" type="noConversion"/>
  </si>
  <si>
    <t>수전설치 원홀 고급형</t>
    <phoneticPr fontId="6" type="noConversion"/>
  </si>
  <si>
    <t>배수구설치 오버 원형</t>
    <phoneticPr fontId="6" type="noConversion"/>
  </si>
  <si>
    <t>주방기물 설치</t>
    <phoneticPr fontId="6" type="noConversion"/>
  </si>
  <si>
    <t>소계</t>
    <phoneticPr fontId="3" type="noConversion"/>
  </si>
  <si>
    <t>반꽃이벽선반(2단1200*350*560</t>
    <phoneticPr fontId="6" type="noConversion"/>
  </si>
  <si>
    <t>홀 목공 작업 진행</t>
    <phoneticPr fontId="3" type="noConversion"/>
  </si>
  <si>
    <t>운영사 자부담</t>
    <phoneticPr fontId="3" type="noConversion"/>
  </si>
  <si>
    <t>운영사 자부담</t>
    <phoneticPr fontId="3" type="noConversion"/>
  </si>
  <si>
    <t>방열판 (튀김기) 450*900</t>
    <phoneticPr fontId="6" type="noConversion"/>
  </si>
  <si>
    <t>벽선반 1800*350*700</t>
    <phoneticPr fontId="6" type="noConversion"/>
  </si>
  <si>
    <t>방열판 (해면기) 500*800</t>
    <phoneticPr fontId="6" type="noConversion"/>
  </si>
  <si>
    <t>1800*700*850</t>
    <phoneticPr fontId="6" type="noConversion"/>
  </si>
  <si>
    <t>세척싱크대(좌 1200*700*850</t>
    <phoneticPr fontId="6" type="noConversion"/>
  </si>
  <si>
    <t>잔반씽크 450*600*850</t>
    <phoneticPr fontId="6" type="noConversion"/>
  </si>
  <si>
    <t>하부포함</t>
    <phoneticPr fontId="6" type="noConversion"/>
  </si>
  <si>
    <t>파이프선반 1200*250*250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</si>
</sst>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m&quot;월&quot;\ dd&quot;일&quot;"/>
  </numFmts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4"/>
      <name val="굴림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0"/>
      <name val="굴림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name val="굴림"/>
      <family val="3"/>
      <charset val="129"/>
    </font>
    <font>
      <sz val="10"/>
      <color theme="1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굴림"/>
      <family val="3"/>
      <charset val="129"/>
    </font>
    <font>
      <b/>
      <sz val="10"/>
      <color indexed="8"/>
      <name val="굴림"/>
      <family val="3"/>
      <charset val="129"/>
    </font>
    <font>
      <b/>
      <sz val="28"/>
      <name val="굴림"/>
      <family val="3"/>
      <charset val="129"/>
    </font>
    <font>
      <b/>
      <sz val="14"/>
      <name val="굴림"/>
      <family val="3"/>
      <charset val="129"/>
    </font>
    <font>
      <b/>
      <sz val="11"/>
      <name val="굴림"/>
      <family val="3"/>
      <charset val="129"/>
    </font>
    <font>
      <sz val="11"/>
      <color theme="1"/>
      <name val="굴림"/>
      <family val="3"/>
      <charset val="129"/>
    </font>
    <font>
      <b/>
      <sz val="12"/>
      <name val="굴림"/>
      <family val="3"/>
      <charset val="129"/>
    </font>
    <font>
      <b/>
      <sz val="11"/>
      <color rgb="FFFF0000"/>
      <name val="굴림"/>
      <family val="3"/>
      <charset val="129"/>
    </font>
    <font>
      <sz val="12"/>
      <color theme="1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6"/>
      <name val="굴림"/>
      <family val="3"/>
      <charset val="129"/>
    </font>
    <font>
      <sz val="9"/>
      <name val="굴림"/>
      <family val="3"/>
      <charset val="129"/>
    </font>
    <font>
      <b/>
      <sz val="9"/>
      <name val="굴림"/>
      <family val="3"/>
      <charset val="129"/>
    </font>
    <font>
      <sz val="9"/>
      <color theme="1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medium">
        <color rgb="FF0000FF"/>
      </bottom>
      <diagonal/>
    </border>
    <border>
      <left style="medium">
        <color rgb="FF0000FF"/>
      </left>
      <right style="thin">
        <color rgb="FF0000FF"/>
      </right>
      <top style="medium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medium">
        <color rgb="FF0000FF"/>
      </top>
      <bottom style="thin">
        <color rgb="FF0000FF"/>
      </bottom>
      <diagonal/>
    </border>
    <border>
      <left style="thin">
        <color rgb="FF0000FF"/>
      </left>
      <right style="medium">
        <color rgb="FF0000FF"/>
      </right>
      <top style="medium">
        <color rgb="FF0000FF"/>
      </top>
      <bottom style="thin">
        <color rgb="FF0000FF"/>
      </bottom>
      <diagonal/>
    </border>
    <border>
      <left style="medium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medium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/>
      <top style="thin">
        <color rgb="FF0000FF"/>
      </top>
      <bottom/>
      <diagonal/>
    </border>
    <border>
      <left/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/>
      <top/>
      <bottom style="thin">
        <color rgb="FF0000FF"/>
      </bottom>
      <diagonal/>
    </border>
    <border>
      <left/>
      <right style="thin">
        <color rgb="FF0000FF"/>
      </right>
      <top/>
      <bottom style="thin">
        <color rgb="FF0000FF"/>
      </bottom>
      <diagonal/>
    </border>
    <border>
      <left style="medium">
        <color rgb="FF0000FF"/>
      </left>
      <right style="thin">
        <color rgb="FF0000FF"/>
      </right>
      <top style="thin">
        <color rgb="FF0000FF"/>
      </top>
      <bottom style="medium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medium">
        <color rgb="FF0000FF"/>
      </bottom>
      <diagonal/>
    </border>
    <border>
      <left style="thin">
        <color rgb="FF0000FF"/>
      </left>
      <right style="medium">
        <color rgb="FF0000FF"/>
      </right>
      <top style="thin">
        <color rgb="FF0000FF"/>
      </top>
      <bottom style="medium">
        <color rgb="FF0000FF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medium">
        <color theme="8"/>
      </left>
      <right style="thin">
        <color theme="8"/>
      </right>
      <top style="medium">
        <color theme="8"/>
      </top>
      <bottom style="thin">
        <color theme="8"/>
      </bottom>
      <diagonal/>
    </border>
    <border>
      <left style="thin">
        <color theme="8"/>
      </left>
      <right style="thin">
        <color theme="8"/>
      </right>
      <top style="medium">
        <color theme="8"/>
      </top>
      <bottom style="thin">
        <color theme="8"/>
      </bottom>
      <diagonal/>
    </border>
    <border>
      <left style="thin">
        <color theme="8"/>
      </left>
      <right style="medium">
        <color theme="8"/>
      </right>
      <top style="medium">
        <color theme="8"/>
      </top>
      <bottom style="thin">
        <color theme="8"/>
      </bottom>
      <diagonal/>
    </border>
    <border>
      <left style="medium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 style="medium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medium">
        <color theme="8"/>
      </bottom>
      <diagonal/>
    </border>
    <border>
      <left style="thin">
        <color theme="8"/>
      </left>
      <right style="medium">
        <color theme="8"/>
      </right>
      <top style="thin">
        <color theme="8"/>
      </top>
      <bottom style="medium">
        <color theme="8"/>
      </bottom>
      <diagonal/>
    </border>
    <border>
      <left style="thin">
        <color rgb="FF0000FF"/>
      </left>
      <right style="thin">
        <color rgb="FF0000FF"/>
      </right>
      <top/>
      <bottom/>
      <diagonal/>
    </border>
    <border>
      <left/>
      <right/>
      <top style="thin">
        <color rgb="FF0000FF"/>
      </top>
      <bottom/>
      <diagonal/>
    </border>
    <border>
      <left/>
      <right/>
      <top/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thin">
        <color rgb="FF0000FF"/>
      </left>
      <right/>
      <top style="thin">
        <color rgb="FF0000FF"/>
      </top>
      <bottom style="thin">
        <color rgb="FF0000FF"/>
      </bottom>
      <diagonal/>
    </border>
    <border>
      <left/>
      <right/>
      <top style="thin">
        <color rgb="FF0000FF"/>
      </top>
      <bottom style="thin">
        <color rgb="FF0000FF"/>
      </bottom>
      <diagonal/>
    </border>
    <border>
      <left/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medium">
        <color rgb="FF0000FF"/>
      </right>
      <top style="thin">
        <color rgb="FF0000FF"/>
      </top>
      <bottom/>
      <diagonal/>
    </border>
    <border>
      <left style="thin">
        <color rgb="FF0000FF"/>
      </left>
      <right style="medium">
        <color rgb="FF0000FF"/>
      </right>
      <top/>
      <bottom style="thin">
        <color rgb="FF0000FF"/>
      </bottom>
      <diagonal/>
    </border>
    <border>
      <left style="thin">
        <color rgb="FF0000FF"/>
      </left>
      <right style="medium">
        <color rgb="FF0000FF"/>
      </right>
      <top/>
      <bottom/>
      <diagonal/>
    </border>
    <border>
      <left style="medium">
        <color rgb="FF0000FF"/>
      </left>
      <right style="thin">
        <color rgb="FF0000FF"/>
      </right>
      <top style="thin">
        <color rgb="FF0000FF"/>
      </top>
      <bottom/>
      <diagonal/>
    </border>
    <border>
      <left style="medium">
        <color rgb="FF0000FF"/>
      </left>
      <right style="thin">
        <color rgb="FF0000FF"/>
      </right>
      <top/>
      <bottom/>
      <diagonal/>
    </border>
    <border>
      <left style="medium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theme="8"/>
      </left>
      <right style="thin">
        <color theme="8"/>
      </right>
      <top style="thin">
        <color theme="8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thin">
        <color theme="8"/>
      </left>
      <right style="medium">
        <color theme="8"/>
      </right>
      <top style="thin">
        <color theme="8"/>
      </top>
      <bottom/>
      <diagonal/>
    </border>
    <border>
      <left style="medium">
        <color theme="8"/>
      </left>
      <right/>
      <top/>
      <bottom style="medium">
        <color theme="8"/>
      </bottom>
      <diagonal/>
    </border>
    <border>
      <left/>
      <right/>
      <top/>
      <bottom style="medium">
        <color theme="8"/>
      </bottom>
      <diagonal/>
    </border>
    <border>
      <left/>
      <right style="medium">
        <color theme="8"/>
      </right>
      <top/>
      <bottom style="medium">
        <color theme="8"/>
      </bottom>
      <diagonal/>
    </border>
    <border>
      <left style="medium">
        <color theme="8"/>
      </left>
      <right style="medium">
        <color theme="8"/>
      </right>
      <top/>
      <bottom style="medium">
        <color theme="8"/>
      </bottom>
      <diagonal/>
    </border>
    <border>
      <left style="medium">
        <color theme="8"/>
      </left>
      <right style="thin">
        <color theme="8"/>
      </right>
      <top style="medium">
        <color theme="8"/>
      </top>
      <bottom/>
      <diagonal/>
    </border>
    <border>
      <left style="thin">
        <color theme="8"/>
      </left>
      <right style="thin">
        <color theme="8"/>
      </right>
      <top style="medium">
        <color theme="8"/>
      </top>
      <bottom/>
      <diagonal/>
    </border>
    <border>
      <left style="thin">
        <color theme="8"/>
      </left>
      <right style="medium">
        <color theme="8"/>
      </right>
      <top style="medium">
        <color theme="8"/>
      </top>
      <bottom/>
      <diagonal/>
    </border>
    <border>
      <left style="medium">
        <color rgb="FF0000FF"/>
      </left>
      <right/>
      <top style="thin">
        <color rgb="FF0000FF"/>
      </top>
      <bottom style="medium">
        <color rgb="FF0000FF"/>
      </bottom>
      <diagonal/>
    </border>
    <border>
      <left/>
      <right/>
      <top style="thin">
        <color rgb="FF0000FF"/>
      </top>
      <bottom style="medium">
        <color rgb="FF0000FF"/>
      </bottom>
      <diagonal/>
    </border>
    <border>
      <left/>
      <right style="thin">
        <color rgb="FF0000FF"/>
      </right>
      <top style="thin">
        <color rgb="FF0000FF"/>
      </top>
      <bottom style="medium">
        <color rgb="FF0000FF"/>
      </bottom>
      <diagonal/>
    </border>
    <border>
      <left style="medium">
        <color theme="8"/>
      </left>
      <right style="thin">
        <color theme="8"/>
      </right>
      <top style="thin">
        <color theme="8"/>
      </top>
      <bottom style="medium">
        <color theme="8"/>
      </bottom>
      <diagonal/>
    </border>
  </borders>
  <cellStyleXfs count="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22" fillId="0" borderId="0" applyNumberFormat="0" applyFill="0" applyBorder="0" applyAlignment="0" applyProtection="0">
      <alignment vertical="center"/>
    </xf>
  </cellStyleXfs>
  <cellXfs count="192">
    <xf numFmtId="0" fontId="0" fillId="0" borderId="0" xfId="0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8" fillId="3" borderId="5" xfId="2" applyFont="1" applyFill="1" applyBorder="1" applyAlignment="1">
      <alignment horizontal="center" vertical="center"/>
    </xf>
    <xf numFmtId="0" fontId="8" fillId="3" borderId="6" xfId="3" applyFont="1" applyFill="1" applyBorder="1" applyAlignment="1">
      <alignment horizontal="center" vertical="center"/>
    </xf>
    <xf numFmtId="0" fontId="8" fillId="3" borderId="6" xfId="4" applyFont="1" applyFill="1" applyBorder="1" applyAlignment="1">
      <alignment horizontal="center" vertical="center"/>
    </xf>
    <xf numFmtId="41" fontId="8" fillId="3" borderId="6" xfId="1" applyFont="1" applyFill="1" applyBorder="1">
      <alignment vertical="center"/>
    </xf>
    <xf numFmtId="41" fontId="8" fillId="3" borderId="6" xfId="1" applyFont="1" applyFill="1" applyBorder="1" applyAlignment="1">
      <alignment vertical="center"/>
    </xf>
    <xf numFmtId="0" fontId="8" fillId="3" borderId="7" xfId="2" applyFont="1" applyFill="1" applyBorder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0" fontId="8" fillId="0" borderId="6" xfId="3" applyFont="1" applyBorder="1" applyAlignment="1">
      <alignment horizontal="center" vertical="center"/>
    </xf>
    <xf numFmtId="0" fontId="8" fillId="0" borderId="6" xfId="4" applyFont="1" applyBorder="1" applyAlignment="1">
      <alignment horizontal="center" vertical="center"/>
    </xf>
    <xf numFmtId="41" fontId="8" fillId="0" borderId="6" xfId="1" applyFont="1" applyFill="1" applyBorder="1">
      <alignment vertical="center"/>
    </xf>
    <xf numFmtId="41" fontId="8" fillId="0" borderId="6" xfId="1" applyFont="1" applyFill="1" applyBorder="1" applyAlignment="1">
      <alignment vertical="center"/>
    </xf>
    <xf numFmtId="0" fontId="8" fillId="0" borderId="7" xfId="2" applyFont="1" applyBorder="1" applyAlignment="1">
      <alignment horizontal="center" vertical="center"/>
    </xf>
    <xf numFmtId="41" fontId="9" fillId="0" borderId="6" xfId="1" applyFont="1" applyFill="1" applyBorder="1" applyAlignment="1">
      <alignment vertical="center"/>
    </xf>
    <xf numFmtId="0" fontId="9" fillId="0" borderId="7" xfId="2" applyFont="1" applyBorder="1" applyAlignment="1">
      <alignment horizontal="center" vertical="center"/>
    </xf>
    <xf numFmtId="41" fontId="8" fillId="0" borderId="6" xfId="1" applyFont="1" applyBorder="1">
      <alignment vertical="center"/>
    </xf>
    <xf numFmtId="0" fontId="8" fillId="0" borderId="12" xfId="2" applyFont="1" applyBorder="1" applyAlignment="1">
      <alignment horizontal="center" vertical="center" shrinkToFit="1"/>
    </xf>
    <xf numFmtId="0" fontId="12" fillId="0" borderId="13" xfId="2" applyFont="1" applyBorder="1" applyAlignment="1">
      <alignment vertical="center"/>
    </xf>
    <xf numFmtId="41" fontId="5" fillId="0" borderId="13" xfId="1" applyFont="1" applyFill="1" applyBorder="1" applyAlignment="1">
      <alignment horizontal="right" vertical="center"/>
    </xf>
    <xf numFmtId="41" fontId="5" fillId="0" borderId="13" xfId="1" applyFont="1" applyFill="1" applyBorder="1" applyAlignment="1">
      <alignment horizontal="right" vertical="center" shrinkToFit="1"/>
    </xf>
    <xf numFmtId="41" fontId="8" fillId="0" borderId="14" xfId="2" applyNumberFormat="1" applyFont="1" applyBorder="1" applyAlignment="1">
      <alignment horizontal="center" vertical="center" wrapText="1" shrinkToFit="1"/>
    </xf>
    <xf numFmtId="0" fontId="13" fillId="0" borderId="0" xfId="0" applyFont="1">
      <alignment vertical="center"/>
    </xf>
    <xf numFmtId="0" fontId="15" fillId="2" borderId="2" xfId="6" applyFont="1" applyFill="1" applyBorder="1" applyAlignment="1">
      <alignment horizontal="center" vertical="center"/>
    </xf>
    <xf numFmtId="0" fontId="15" fillId="2" borderId="3" xfId="6" applyFont="1" applyFill="1" applyBorder="1" applyAlignment="1">
      <alignment horizontal="center" vertical="center"/>
    </xf>
    <xf numFmtId="41" fontId="15" fillId="2" borderId="3" xfId="1" applyFont="1" applyFill="1" applyBorder="1" applyAlignment="1">
      <alignment horizontal="center" vertical="center"/>
    </xf>
    <xf numFmtId="0" fontId="15" fillId="2" borderId="4" xfId="6" applyFont="1" applyFill="1" applyBorder="1" applyAlignment="1">
      <alignment horizontal="center" vertical="center"/>
    </xf>
    <xf numFmtId="0" fontId="11" fillId="0" borderId="5" xfId="6" applyFont="1" applyBorder="1" applyAlignment="1">
      <alignment horizontal="center" vertical="center"/>
    </xf>
    <xf numFmtId="0" fontId="11" fillId="0" borderId="6" xfId="6" applyFont="1" applyBorder="1" applyAlignment="1">
      <alignment horizontal="center" vertical="center"/>
    </xf>
    <xf numFmtId="41" fontId="11" fillId="0" borderId="6" xfId="1" applyFont="1" applyFill="1" applyBorder="1" applyAlignment="1">
      <alignment horizontal="center" vertical="center"/>
    </xf>
    <xf numFmtId="41" fontId="11" fillId="0" borderId="6" xfId="5" applyFont="1" applyFill="1" applyBorder="1" applyAlignment="1">
      <alignment horizontal="center" vertical="center"/>
    </xf>
    <xf numFmtId="0" fontId="16" fillId="0" borderId="7" xfId="6" applyFont="1" applyBorder="1" applyAlignment="1">
      <alignment horizontal="center" vertical="center"/>
    </xf>
    <xf numFmtId="41" fontId="16" fillId="0" borderId="7" xfId="5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6" xfId="7" applyFont="1" applyBorder="1" applyAlignment="1">
      <alignment horizontal="center" vertical="center"/>
    </xf>
    <xf numFmtId="41" fontId="11" fillId="0" borderId="6" xfId="1" applyFont="1" applyFill="1" applyBorder="1">
      <alignment vertical="center"/>
    </xf>
    <xf numFmtId="12" fontId="11" fillId="0" borderId="6" xfId="6" applyNumberFormat="1" applyFont="1" applyBorder="1" applyAlignment="1">
      <alignment horizontal="center" vertical="center"/>
    </xf>
    <xf numFmtId="41" fontId="11" fillId="0" borderId="7" xfId="5" applyFont="1" applyFill="1" applyBorder="1" applyAlignment="1">
      <alignment horizontal="center" vertical="center"/>
    </xf>
    <xf numFmtId="0" fontId="11" fillId="0" borderId="6" xfId="6" quotePrefix="1" applyFont="1" applyBorder="1" applyAlignment="1">
      <alignment horizontal="center" vertical="center"/>
    </xf>
    <xf numFmtId="176" fontId="11" fillId="0" borderId="6" xfId="6" applyNumberFormat="1" applyFont="1" applyBorder="1" applyAlignment="1">
      <alignment horizontal="center" vertical="center"/>
    </xf>
    <xf numFmtId="0" fontId="15" fillId="0" borderId="12" xfId="6" applyFont="1" applyBorder="1" applyAlignment="1">
      <alignment horizontal="center" vertical="center"/>
    </xf>
    <xf numFmtId="0" fontId="15" fillId="0" borderId="13" xfId="6" applyFont="1" applyBorder="1" applyAlignment="1">
      <alignment horizontal="center" vertical="center"/>
    </xf>
    <xf numFmtId="41" fontId="15" fillId="0" borderId="13" xfId="6" applyNumberFormat="1" applyFont="1" applyBorder="1" applyAlignment="1">
      <alignment horizontal="center" vertical="center"/>
    </xf>
    <xf numFmtId="41" fontId="15" fillId="0" borderId="13" xfId="1" applyFont="1" applyFill="1" applyBorder="1" applyAlignment="1">
      <alignment horizontal="center" vertical="center"/>
    </xf>
    <xf numFmtId="41" fontId="15" fillId="0" borderId="13" xfId="5" applyFont="1" applyFill="1" applyBorder="1" applyAlignment="1">
      <alignment horizontal="center" vertical="center"/>
    </xf>
    <xf numFmtId="41" fontId="15" fillId="0" borderId="13" xfId="5" applyFont="1" applyFill="1" applyBorder="1" applyAlignment="1">
      <alignment horizontal="right" vertical="center"/>
    </xf>
    <xf numFmtId="0" fontId="11" fillId="0" borderId="14" xfId="6" applyFont="1" applyBorder="1">
      <alignment vertical="center"/>
    </xf>
    <xf numFmtId="0" fontId="8" fillId="0" borderId="6" xfId="6" applyFont="1" applyBorder="1" applyAlignment="1">
      <alignment horizontal="center" vertical="center"/>
    </xf>
    <xf numFmtId="0" fontId="16" fillId="0" borderId="6" xfId="6" applyFont="1" applyBorder="1" applyAlignment="1">
      <alignment horizontal="center" vertical="center"/>
    </xf>
    <xf numFmtId="41" fontId="16" fillId="0" borderId="6" xfId="5" applyFont="1" applyFill="1" applyBorder="1" applyAlignment="1">
      <alignment horizontal="center" vertical="center"/>
    </xf>
    <xf numFmtId="0" fontId="18" fillId="0" borderId="7" xfId="6" applyFont="1" applyBorder="1" applyAlignment="1">
      <alignment horizontal="center" vertical="center"/>
    </xf>
    <xf numFmtId="41" fontId="11" fillId="0" borderId="6" xfId="1" applyFont="1" applyBorder="1" applyAlignment="1">
      <alignment horizontal="center" vertical="center"/>
    </xf>
    <xf numFmtId="41" fontId="15" fillId="0" borderId="6" xfId="5" applyFont="1" applyFill="1" applyBorder="1" applyAlignment="1">
      <alignment horizontal="center" vertical="center"/>
    </xf>
    <xf numFmtId="41" fontId="15" fillId="0" borderId="6" xfId="5" applyFont="1" applyFill="1" applyBorder="1" applyAlignment="1">
      <alignment horizontal="right" vertical="center"/>
    </xf>
    <xf numFmtId="41" fontId="15" fillId="0" borderId="13" xfId="6" applyNumberFormat="1" applyFont="1" applyBorder="1">
      <alignment vertical="center"/>
    </xf>
    <xf numFmtId="41" fontId="15" fillId="0" borderId="14" xfId="6" applyNumberFormat="1" applyFont="1" applyBorder="1">
      <alignment vertical="center"/>
    </xf>
    <xf numFmtId="0" fontId="0" fillId="0" borderId="0" xfId="0" applyAlignment="1">
      <alignment horizontal="center" vertical="center"/>
    </xf>
    <xf numFmtId="41" fontId="0" fillId="0" borderId="0" xfId="1" applyFont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1" fontId="0" fillId="0" borderId="15" xfId="1" applyFont="1" applyBorder="1" applyAlignment="1">
      <alignment horizontal="center" vertical="center"/>
    </xf>
    <xf numFmtId="0" fontId="15" fillId="2" borderId="16" xfId="6" applyFont="1" applyFill="1" applyBorder="1" applyAlignment="1">
      <alignment horizontal="center" vertical="center"/>
    </xf>
    <xf numFmtId="0" fontId="15" fillId="2" borderId="17" xfId="6" applyFont="1" applyFill="1" applyBorder="1" applyAlignment="1">
      <alignment horizontal="center" vertical="center"/>
    </xf>
    <xf numFmtId="41" fontId="15" fillId="2" borderId="17" xfId="1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41" fontId="0" fillId="0" borderId="21" xfId="1" applyFont="1" applyBorder="1" applyAlignment="1">
      <alignment horizontal="center" vertical="center"/>
    </xf>
    <xf numFmtId="0" fontId="8" fillId="4" borderId="6" xfId="4" applyFont="1" applyFill="1" applyBorder="1" applyAlignment="1">
      <alignment horizontal="center" vertical="center"/>
    </xf>
    <xf numFmtId="0" fontId="8" fillId="4" borderId="6" xfId="3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41" fontId="0" fillId="0" borderId="38" xfId="1" applyFont="1" applyBorder="1" applyAlignment="1">
      <alignment horizontal="center" vertical="center"/>
    </xf>
    <xf numFmtId="0" fontId="0" fillId="0" borderId="39" xfId="0" applyBorder="1" applyAlignment="1">
      <alignment horizontal="center" vertical="center" wrapText="1"/>
    </xf>
    <xf numFmtId="0" fontId="22" fillId="0" borderId="20" xfId="8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1" fontId="15" fillId="2" borderId="18" xfId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41" fontId="0" fillId="0" borderId="43" xfId="1" applyFont="1" applyBorder="1" applyAlignment="1">
      <alignment horizontal="center" vertical="center"/>
    </xf>
    <xf numFmtId="0" fontId="0" fillId="0" borderId="4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15" fillId="2" borderId="44" xfId="6" applyFont="1" applyFill="1" applyBorder="1" applyAlignment="1">
      <alignment horizontal="center" vertical="center"/>
    </xf>
    <xf numFmtId="0" fontId="15" fillId="2" borderId="45" xfId="6" applyFont="1" applyFill="1" applyBorder="1" applyAlignment="1">
      <alignment horizontal="center" vertical="center"/>
    </xf>
    <xf numFmtId="41" fontId="15" fillId="2" borderId="45" xfId="1" applyFont="1" applyFill="1" applyBorder="1" applyAlignment="1">
      <alignment horizontal="center" vertical="center"/>
    </xf>
    <xf numFmtId="41" fontId="15" fillId="2" borderId="46" xfId="1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41" fontId="0" fillId="0" borderId="17" xfId="1" applyFont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41" fontId="5" fillId="0" borderId="6" xfId="1" applyFont="1" applyFill="1" applyBorder="1">
      <alignment vertical="center"/>
    </xf>
    <xf numFmtId="41" fontId="5" fillId="0" borderId="6" xfId="1" applyFont="1" applyFill="1" applyBorder="1" applyAlignment="1">
      <alignment horizontal="right" vertical="center" shrinkToFit="1"/>
    </xf>
    <xf numFmtId="0" fontId="8" fillId="0" borderId="13" xfId="4" applyFont="1" applyBorder="1" applyAlignment="1">
      <alignment horizontal="center" vertical="center"/>
    </xf>
    <xf numFmtId="41" fontId="5" fillId="0" borderId="13" xfId="1" applyFont="1" applyFill="1" applyBorder="1">
      <alignment vertical="center"/>
    </xf>
    <xf numFmtId="0" fontId="8" fillId="0" borderId="14" xfId="2" applyFont="1" applyBorder="1" applyAlignment="1">
      <alignment horizontal="center" vertical="center"/>
    </xf>
    <xf numFmtId="41" fontId="24" fillId="0" borderId="6" xfId="1" applyFont="1" applyFill="1" applyBorder="1" applyAlignment="1">
      <alignment vertical="center"/>
    </xf>
    <xf numFmtId="41" fontId="26" fillId="0" borderId="6" xfId="1" applyFont="1" applyFill="1" applyBorder="1" applyAlignment="1">
      <alignment vertical="center"/>
    </xf>
    <xf numFmtId="0" fontId="8" fillId="3" borderId="7" xfId="2" applyFont="1" applyFill="1" applyBorder="1" applyAlignment="1">
      <alignment horizontal="center" vertical="center" wrapText="1"/>
    </xf>
    <xf numFmtId="41" fontId="24" fillId="0" borderId="6" xfId="1" applyFont="1" applyFill="1" applyBorder="1" applyAlignment="1">
      <alignment horizontal="center" vertical="center"/>
    </xf>
    <xf numFmtId="41" fontId="25" fillId="0" borderId="6" xfId="1" applyFont="1" applyFill="1" applyBorder="1" applyAlignment="1">
      <alignment vertical="center"/>
    </xf>
    <xf numFmtId="41" fontId="8" fillId="0" borderId="6" xfId="5" applyFont="1" applyFill="1" applyBorder="1" applyAlignment="1">
      <alignment horizontal="center" vertical="center"/>
    </xf>
    <xf numFmtId="41" fontId="8" fillId="0" borderId="6" xfId="1" applyFont="1" applyFill="1" applyBorder="1" applyAlignment="1">
      <alignment horizontal="center" vertical="center"/>
    </xf>
    <xf numFmtId="41" fontId="8" fillId="0" borderId="7" xfId="1" applyFont="1" applyFill="1" applyBorder="1" applyAlignment="1">
      <alignment horizontal="center" vertical="center"/>
    </xf>
    <xf numFmtId="41" fontId="9" fillId="0" borderId="6" xfId="1" applyFont="1" applyFill="1" applyBorder="1" applyAlignment="1">
      <alignment horizontal="center" vertical="center"/>
    </xf>
    <xf numFmtId="41" fontId="9" fillId="0" borderId="7" xfId="1" applyFont="1" applyFill="1" applyBorder="1" applyAlignment="1">
      <alignment horizontal="center" vertical="center"/>
    </xf>
    <xf numFmtId="41" fontId="8" fillId="0" borderId="5" xfId="1" applyFont="1" applyFill="1" applyBorder="1" applyAlignment="1">
      <alignment horizontal="center" vertical="center"/>
    </xf>
    <xf numFmtId="41" fontId="24" fillId="0" borderId="7" xfId="1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41" fontId="0" fillId="0" borderId="0" xfId="1" applyFont="1" applyFill="1">
      <alignment vertical="center"/>
    </xf>
    <xf numFmtId="41" fontId="5" fillId="0" borderId="2" xfId="1" applyFont="1" applyFill="1" applyBorder="1" applyAlignment="1">
      <alignment horizontal="center" vertical="center"/>
    </xf>
    <xf numFmtId="41" fontId="5" fillId="0" borderId="3" xfId="1" applyFont="1" applyFill="1" applyBorder="1" applyAlignment="1">
      <alignment horizontal="center" vertical="center"/>
    </xf>
    <xf numFmtId="41" fontId="5" fillId="0" borderId="4" xfId="1" applyFont="1" applyFill="1" applyBorder="1" applyAlignment="1">
      <alignment horizontal="center" vertical="center"/>
    </xf>
    <xf numFmtId="41" fontId="25" fillId="0" borderId="6" xfId="1" applyFont="1" applyFill="1" applyBorder="1" applyAlignment="1">
      <alignment horizontal="center" vertical="center"/>
    </xf>
    <xf numFmtId="41" fontId="24" fillId="0" borderId="5" xfId="1" applyFont="1" applyFill="1" applyBorder="1" applyAlignment="1">
      <alignment horizontal="center" vertical="center"/>
    </xf>
    <xf numFmtId="41" fontId="26" fillId="0" borderId="7" xfId="1" applyFont="1" applyFill="1" applyBorder="1" applyAlignment="1">
      <alignment horizontal="center" vertical="center"/>
    </xf>
    <xf numFmtId="41" fontId="8" fillId="0" borderId="12" xfId="1" applyFont="1" applyFill="1" applyBorder="1" applyAlignment="1">
      <alignment horizontal="center" vertical="center" shrinkToFit="1"/>
    </xf>
    <xf numFmtId="41" fontId="12" fillId="0" borderId="13" xfId="1" applyFont="1" applyFill="1" applyBorder="1" applyAlignment="1">
      <alignment vertical="center"/>
    </xf>
    <xf numFmtId="41" fontId="12" fillId="0" borderId="13" xfId="1" applyFont="1" applyFill="1" applyBorder="1" applyAlignment="1">
      <alignment horizontal="center" vertical="center"/>
    </xf>
    <xf numFmtId="41" fontId="8" fillId="0" borderId="14" xfId="1" applyFont="1" applyFill="1" applyBorder="1" applyAlignment="1">
      <alignment horizontal="center" vertical="center" wrapText="1" shrinkToFit="1"/>
    </xf>
    <xf numFmtId="41" fontId="0" fillId="0" borderId="0" xfId="1" applyFont="1" applyFill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1" fontId="9" fillId="0" borderId="7" xfId="5" applyFont="1" applyFill="1" applyBorder="1" applyAlignment="1">
      <alignment horizontal="center" vertical="center"/>
    </xf>
    <xf numFmtId="0" fontId="8" fillId="0" borderId="6" xfId="7" applyFont="1" applyBorder="1" applyAlignment="1">
      <alignment horizontal="center" vertical="center"/>
    </xf>
    <xf numFmtId="0" fontId="9" fillId="0" borderId="7" xfId="6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8" xfId="3" applyFont="1" applyBorder="1" applyAlignment="1">
      <alignment horizontal="center" vertical="center"/>
    </xf>
    <xf numFmtId="41" fontId="9" fillId="0" borderId="7" xfId="5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47" xfId="2" applyFont="1" applyBorder="1" applyAlignment="1">
      <alignment horizontal="center" vertical="center"/>
    </xf>
    <xf numFmtId="0" fontId="8" fillId="0" borderId="48" xfId="2" applyFont="1" applyBorder="1" applyAlignment="1">
      <alignment horizontal="center" vertical="center"/>
    </xf>
    <xf numFmtId="0" fontId="8" fillId="0" borderId="49" xfId="2" applyFont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  <xf numFmtId="0" fontId="11" fillId="0" borderId="10" xfId="2" applyFont="1" applyBorder="1" applyAlignment="1">
      <alignment horizontal="center" vertical="center"/>
    </xf>
    <xf numFmtId="0" fontId="11" fillId="0" borderId="11" xfId="2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8" fillId="3" borderId="26" xfId="3" applyFont="1" applyFill="1" applyBorder="1" applyAlignment="1">
      <alignment horizontal="center" vertical="center"/>
    </xf>
    <xf numFmtId="0" fontId="8" fillId="3" borderId="23" xfId="3" applyFont="1" applyFill="1" applyBorder="1" applyAlignment="1">
      <alignment horizontal="center" vertical="center"/>
    </xf>
    <xf numFmtId="0" fontId="8" fillId="3" borderId="27" xfId="3" applyFont="1" applyFill="1" applyBorder="1" applyAlignment="1">
      <alignment horizontal="center" vertical="center"/>
    </xf>
    <xf numFmtId="0" fontId="8" fillId="3" borderId="28" xfId="3" applyFont="1" applyFill="1" applyBorder="1" applyAlignment="1">
      <alignment horizontal="center" vertical="center"/>
    </xf>
    <xf numFmtId="0" fontId="8" fillId="3" borderId="29" xfId="3" applyFont="1" applyFill="1" applyBorder="1" applyAlignment="1">
      <alignment horizontal="center" vertical="center"/>
    </xf>
    <xf numFmtId="0" fontId="8" fillId="3" borderId="30" xfId="3" applyFont="1" applyFill="1" applyBorder="1" applyAlignment="1">
      <alignment horizontal="center" vertical="center"/>
    </xf>
    <xf numFmtId="0" fontId="11" fillId="0" borderId="24" xfId="2" applyFont="1" applyBorder="1" applyAlignment="1">
      <alignment horizontal="center" vertical="center"/>
    </xf>
    <xf numFmtId="0" fontId="11" fillId="0" borderId="25" xfId="2" applyFont="1" applyBorder="1" applyAlignment="1">
      <alignment horizontal="center" vertical="center"/>
    </xf>
    <xf numFmtId="0" fontId="8" fillId="3" borderId="31" xfId="2" applyFont="1" applyFill="1" applyBorder="1" applyAlignment="1">
      <alignment horizontal="center" vertical="center"/>
    </xf>
    <xf numFmtId="0" fontId="8" fillId="3" borderId="33" xfId="2" applyFont="1" applyFill="1" applyBorder="1" applyAlignment="1">
      <alignment horizontal="center" vertical="center"/>
    </xf>
    <xf numFmtId="0" fontId="8" fillId="3" borderId="32" xfId="2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7" fillId="0" borderId="0" xfId="0" applyFont="1" applyAlignment="1">
      <alignment horizontal="right" vertical="center"/>
    </xf>
    <xf numFmtId="0" fontId="11" fillId="0" borderId="8" xfId="7" applyFont="1" applyBorder="1" applyAlignment="1">
      <alignment horizontal="center" vertical="center"/>
    </xf>
    <xf numFmtId="0" fontId="11" fillId="0" borderId="9" xfId="7" applyFont="1" applyBorder="1" applyAlignment="1">
      <alignment horizontal="center" vertical="center"/>
    </xf>
    <xf numFmtId="0" fontId="11" fillId="0" borderId="10" xfId="7" applyFont="1" applyBorder="1" applyAlignment="1">
      <alignment horizontal="center" vertical="center"/>
    </xf>
    <xf numFmtId="0" fontId="11" fillId="0" borderId="11" xfId="7" applyFont="1" applyBorder="1" applyAlignment="1">
      <alignment horizontal="center" vertical="center"/>
    </xf>
    <xf numFmtId="0" fontId="14" fillId="0" borderId="0" xfId="0" applyFont="1" applyAlignment="1">
      <alignment horizontal="right" vertical="center"/>
    </xf>
    <xf numFmtId="41" fontId="8" fillId="0" borderId="6" xfId="1" applyFont="1" applyFill="1" applyBorder="1" applyAlignment="1">
      <alignment horizontal="center" vertical="center"/>
    </xf>
    <xf numFmtId="41" fontId="8" fillId="0" borderId="34" xfId="1" applyFont="1" applyFill="1" applyBorder="1" applyAlignment="1">
      <alignment horizontal="center" vertical="center"/>
    </xf>
    <xf numFmtId="41" fontId="8" fillId="0" borderId="35" xfId="1" applyFont="1" applyFill="1" applyBorder="1" applyAlignment="1">
      <alignment horizontal="center" vertical="center"/>
    </xf>
    <xf numFmtId="41" fontId="8" fillId="0" borderId="36" xfId="1" applyFont="1" applyFill="1" applyBorder="1" applyAlignment="1">
      <alignment horizontal="center" vertical="center"/>
    </xf>
    <xf numFmtId="41" fontId="2" fillId="0" borderId="0" xfId="1" applyFont="1" applyFill="1" applyAlignment="1">
      <alignment horizontal="center" vertical="center"/>
    </xf>
    <xf numFmtId="41" fontId="2" fillId="0" borderId="1" xfId="1" applyFont="1" applyFill="1" applyBorder="1" applyAlignment="1">
      <alignment horizontal="center" vertical="center"/>
    </xf>
    <xf numFmtId="41" fontId="24" fillId="0" borderId="34" xfId="1" applyFont="1" applyFill="1" applyBorder="1" applyAlignment="1">
      <alignment horizontal="center" vertical="center"/>
    </xf>
    <xf numFmtId="41" fontId="24" fillId="0" borderId="35" xfId="1" applyFont="1" applyFill="1" applyBorder="1" applyAlignment="1">
      <alignment horizontal="center" vertical="center"/>
    </xf>
    <xf numFmtId="41" fontId="24" fillId="0" borderId="36" xfId="1" applyFont="1" applyFill="1" applyBorder="1" applyAlignment="1">
      <alignment horizontal="center" vertical="center"/>
    </xf>
    <xf numFmtId="41" fontId="24" fillId="0" borderId="26" xfId="1" applyFont="1" applyFill="1" applyBorder="1" applyAlignment="1">
      <alignment horizontal="center" vertical="center"/>
    </xf>
    <xf numFmtId="41" fontId="24" fillId="0" borderId="23" xfId="1" applyFont="1" applyFill="1" applyBorder="1" applyAlignment="1">
      <alignment horizontal="center" vertical="center"/>
    </xf>
    <xf numFmtId="41" fontId="24" fillId="0" borderId="27" xfId="1" applyFont="1" applyFill="1" applyBorder="1" applyAlignment="1">
      <alignment horizontal="center" vertical="center"/>
    </xf>
    <xf numFmtId="41" fontId="24" fillId="0" borderId="31" xfId="1" applyFont="1" applyFill="1" applyBorder="1" applyAlignment="1">
      <alignment horizontal="center" vertical="center"/>
    </xf>
    <xf numFmtId="41" fontId="24" fillId="0" borderId="33" xfId="1" applyFont="1" applyFill="1" applyBorder="1" applyAlignment="1">
      <alignment horizontal="center" vertical="center"/>
    </xf>
    <xf numFmtId="41" fontId="24" fillId="0" borderId="32" xfId="1" applyFont="1" applyFill="1" applyBorder="1" applyAlignment="1">
      <alignment horizontal="center" vertical="center"/>
    </xf>
    <xf numFmtId="41" fontId="24" fillId="0" borderId="26" xfId="1" applyFont="1" applyFill="1" applyBorder="1" applyAlignment="1">
      <alignment horizontal="center" vertical="center" wrapText="1"/>
    </xf>
    <xf numFmtId="41" fontId="24" fillId="0" borderId="23" xfId="1" applyFont="1" applyFill="1" applyBorder="1" applyAlignment="1">
      <alignment horizontal="center" vertical="center" wrapText="1"/>
    </xf>
    <xf numFmtId="41" fontId="24" fillId="0" borderId="8" xfId="1" applyFont="1" applyFill="1" applyBorder="1" applyAlignment="1">
      <alignment horizontal="center" vertical="center"/>
    </xf>
    <xf numFmtId="41" fontId="24" fillId="0" borderId="24" xfId="1" applyFont="1" applyFill="1" applyBorder="1" applyAlignment="1">
      <alignment horizontal="center" vertical="center"/>
    </xf>
    <xf numFmtId="41" fontId="24" fillId="0" borderId="9" xfId="1" applyFont="1" applyFill="1" applyBorder="1" applyAlignment="1">
      <alignment horizontal="center" vertical="center"/>
    </xf>
    <xf numFmtId="41" fontId="24" fillId="0" borderId="10" xfId="1" applyFont="1" applyFill="1" applyBorder="1" applyAlignment="1">
      <alignment horizontal="center" vertical="center"/>
    </xf>
    <xf numFmtId="41" fontId="24" fillId="0" borderId="25" xfId="1" applyFont="1" applyFill="1" applyBorder="1" applyAlignment="1">
      <alignment horizontal="center" vertical="center"/>
    </xf>
    <xf numFmtId="41" fontId="24" fillId="0" borderId="11" xfId="1" applyFont="1" applyFill="1" applyBorder="1" applyAlignment="1">
      <alignment horizontal="center" vertical="center"/>
    </xf>
    <xf numFmtId="41" fontId="24" fillId="0" borderId="28" xfId="1" applyFont="1" applyFill="1" applyBorder="1" applyAlignment="1">
      <alignment horizontal="center" vertical="center"/>
    </xf>
    <xf numFmtId="41" fontId="24" fillId="0" borderId="29" xfId="1" applyFont="1" applyFill="1" applyBorder="1" applyAlignment="1">
      <alignment horizontal="center" vertical="center"/>
    </xf>
    <xf numFmtId="41" fontId="24" fillId="0" borderId="30" xfId="1" applyFont="1" applyFill="1" applyBorder="1" applyAlignment="1">
      <alignment horizontal="center" vertical="center"/>
    </xf>
  </cellXfs>
  <cellStyles count="9">
    <cellStyle name="쉼표 [0]" xfId="1" builtinId="6"/>
    <cellStyle name="쉼표 [0] 8" xfId="5" xr:uid="{00000000-0005-0000-0000-000001000000}"/>
    <cellStyle name="표준" xfId="0" builtinId="0"/>
    <cellStyle name="표준 2" xfId="2" xr:uid="{00000000-0005-0000-0000-000003000000}"/>
    <cellStyle name="표준 3 10 4" xfId="3" xr:uid="{00000000-0005-0000-0000-000004000000}"/>
    <cellStyle name="표준 3 10 4 8" xfId="4" xr:uid="{00000000-0005-0000-0000-000005000000}"/>
    <cellStyle name="표준 3 10 4 9 2" xfId="7" xr:uid="{00000000-0005-0000-0000-000006000000}"/>
    <cellStyle name="표준 3 3 9" xfId="6" xr:uid="{00000000-0005-0000-0000-000007000000}"/>
    <cellStyle name="하이퍼링크" xfId="8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jpeg"/><Relationship Id="rId5" Type="http://schemas.openxmlformats.org/officeDocument/2006/relationships/image" Target="../media/image10.jpeg"/><Relationship Id="rId4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121920</xdr:colOff>
      <xdr:row>4</xdr:row>
      <xdr:rowOff>83820</xdr:rowOff>
    </xdr:from>
    <xdr:to>
      <xdr:col>3</xdr:col>
      <xdr:colOff>841920</xdr:colOff>
      <xdr:row>4</xdr:row>
      <xdr:rowOff>803820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483FACC-FE52-91E1-2923-63DAFAC76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533400"/>
          <a:ext cx="720000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83820</xdr:colOff>
      <xdr:row>5</xdr:row>
      <xdr:rowOff>60960</xdr:rowOff>
    </xdr:from>
    <xdr:to>
      <xdr:col>3</xdr:col>
      <xdr:colOff>803820</xdr:colOff>
      <xdr:row>5</xdr:row>
      <xdr:rowOff>780960</xdr:rowOff>
    </xdr:to>
    <xdr:pic>
      <xdr:nvPicPr>
        <xdr:cNvPr id="5" name="그림 4" descr="수직 냉동 쇼케이스 직냉식 (398리터)">
          <a:extLst>
            <a:ext uri="{FF2B5EF4-FFF2-40B4-BE49-F238E27FC236}">
              <a16:creationId xmlns:a16="http://schemas.microsoft.com/office/drawing/2014/main" id="{57D7AEDF-7554-487E-09C0-F4C33AB66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5640" y="1409700"/>
          <a:ext cx="720000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38100</xdr:colOff>
      <xdr:row>6</xdr:row>
      <xdr:rowOff>160019</xdr:rowOff>
    </xdr:from>
    <xdr:to>
      <xdr:col>3</xdr:col>
      <xdr:colOff>820805</xdr:colOff>
      <xdr:row>6</xdr:row>
      <xdr:rowOff>768789</xdr:rowOff>
    </xdr:to>
    <xdr:pic>
      <xdr:nvPicPr>
        <xdr:cNvPr id="6" name="그림 5" descr="상품이미지">
          <a:extLst>
            <a:ext uri="{FF2B5EF4-FFF2-40B4-BE49-F238E27FC236}">
              <a16:creationId xmlns:a16="http://schemas.microsoft.com/office/drawing/2014/main" id="{0583448F-AD6B-1817-01C7-8B9B83B4A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3154680" y="2918459"/>
          <a:ext cx="782705" cy="608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38101</xdr:colOff>
      <xdr:row>7</xdr:row>
      <xdr:rowOff>60960</xdr:rowOff>
    </xdr:from>
    <xdr:to>
      <xdr:col>3</xdr:col>
      <xdr:colOff>815340</xdr:colOff>
      <xdr:row>7</xdr:row>
      <xdr:rowOff>780960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C5225A0-5708-F5E1-5825-8E1CAB822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54681" y="3665220"/>
          <a:ext cx="777239" cy="72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60960</xdr:colOff>
      <xdr:row>8</xdr:row>
      <xdr:rowOff>68580</xdr:rowOff>
    </xdr:from>
    <xdr:to>
      <xdr:col>3</xdr:col>
      <xdr:colOff>780960</xdr:colOff>
      <xdr:row>8</xdr:row>
      <xdr:rowOff>788580</xdr:rowOff>
    </xdr:to>
    <xdr:pic>
      <xdr:nvPicPr>
        <xdr:cNvPr id="3" name="그림 2" descr="가정용전기레인지, (주문자상표부착)쿠첸, (CN)CEO-F160, 1구, 2000W 이미지">
          <a:extLst>
            <a:ext uri="{FF2B5EF4-FFF2-40B4-BE49-F238E27FC236}">
              <a16:creationId xmlns:a16="http://schemas.microsoft.com/office/drawing/2014/main" id="{D9175611-3F88-134D-4B0F-42B75DEA8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7540" y="4526280"/>
          <a:ext cx="720000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99060</xdr:colOff>
      <xdr:row>6</xdr:row>
      <xdr:rowOff>83820</xdr:rowOff>
    </xdr:from>
    <xdr:to>
      <xdr:col>3</xdr:col>
      <xdr:colOff>891540</xdr:colOff>
      <xdr:row>6</xdr:row>
      <xdr:rowOff>876300</xdr:rowOff>
    </xdr:to>
    <xdr:pic>
      <xdr:nvPicPr>
        <xdr:cNvPr id="5" name="그림 4" descr="10인용식탁 우드슬랩테이블 대형 카페 통원목 테이블 2200 원목테이블 슬랩 회의">
          <a:extLst>
            <a:ext uri="{FF2B5EF4-FFF2-40B4-BE49-F238E27FC236}">
              <a16:creationId xmlns:a16="http://schemas.microsoft.com/office/drawing/2014/main" id="{1204F4D0-DBA0-AA34-D23D-B7D5406E2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2280" y="1546860"/>
          <a:ext cx="792480" cy="792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137160</xdr:colOff>
      <xdr:row>7</xdr:row>
      <xdr:rowOff>152400</xdr:rowOff>
    </xdr:from>
    <xdr:to>
      <xdr:col>3</xdr:col>
      <xdr:colOff>859564</xdr:colOff>
      <xdr:row>7</xdr:row>
      <xdr:rowOff>872400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68EA424-945C-0C48-1D65-A934822A0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0380" y="2598420"/>
          <a:ext cx="722404" cy="72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228600</xdr:colOff>
      <xdr:row>8</xdr:row>
      <xdr:rowOff>190500</xdr:rowOff>
    </xdr:from>
    <xdr:to>
      <xdr:col>3</xdr:col>
      <xdr:colOff>948600</xdr:colOff>
      <xdr:row>8</xdr:row>
      <xdr:rowOff>910500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6DB413D7-2CC0-D42E-2EBE-B717C3B0F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1820" y="3680460"/>
          <a:ext cx="720000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220981</xdr:colOff>
      <xdr:row>9</xdr:row>
      <xdr:rowOff>198120</xdr:rowOff>
    </xdr:from>
    <xdr:to>
      <xdr:col>3</xdr:col>
      <xdr:colOff>920794</xdr:colOff>
      <xdr:row>9</xdr:row>
      <xdr:rowOff>918120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98C2249A-78C5-54CF-761D-F1EBACB9F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24201" y="4732020"/>
          <a:ext cx="699813" cy="72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175260</xdr:colOff>
      <xdr:row>10</xdr:row>
      <xdr:rowOff>144780</xdr:rowOff>
    </xdr:from>
    <xdr:to>
      <xdr:col>3</xdr:col>
      <xdr:colOff>895260</xdr:colOff>
      <xdr:row>10</xdr:row>
      <xdr:rowOff>864780</xdr:rowOff>
    </xdr:to>
    <xdr:pic>
      <xdr:nvPicPr>
        <xdr:cNvPr id="9" name="그림 8" descr="책장, 코퍼스, KOFUS-BC2217, 1200×400×1750mm, 5단 이미지">
          <a:extLst>
            <a:ext uri="{FF2B5EF4-FFF2-40B4-BE49-F238E27FC236}">
              <a16:creationId xmlns:a16="http://schemas.microsoft.com/office/drawing/2014/main" id="{A604173C-3C3D-882D-4E26-7CA697D6D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8480" y="5722620"/>
          <a:ext cx="720000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83820</xdr:colOff>
      <xdr:row>0</xdr:row>
      <xdr:rowOff>0</xdr:rowOff>
    </xdr:from>
    <xdr:to>
      <xdr:col>10</xdr:col>
      <xdr:colOff>601980</xdr:colOff>
      <xdr:row>34</xdr:row>
      <xdr:rowOff>76200</xdr:rowOff>
    </xdr:to>
    <xdr:pic>
      <xdr:nvPicPr>
        <xdr:cNvPr id="2" name="그림 1" descr="C:\Users\user\Desktop\만두 성형기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4940" y="0"/>
          <a:ext cx="5882640" cy="7589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m.dodadak.com/product/%EB%91%90%EB%8B%A4%EB%8B%A5-%EB%A7%88%ED%85%8C%EB%9D%BC-lpm-%EC%95%9E%EA%B0%80%EB%A6%BC-%EC%B2%A0%EC%9E%AC%EC%B1%85%EC%83%81-1200-1500-1800/304/category/51/display/1/" TargetMode="External"/><Relationship Id="rId2" Type="http://schemas.openxmlformats.org/officeDocument/2006/relationships/hyperlink" Target="https://item.gmarket.co.kr/Item?goodscode=4361501847&amp;buyboxtype=ad" TargetMode="External"/><Relationship Id="rId1" Type="http://schemas.openxmlformats.org/officeDocument/2006/relationships/hyperlink" Target="https://item.gmarket.co.kr/Item?goodscode=4371495453" TargetMode="External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5.bin"/><Relationship Id="rId4" Type="http://schemas.openxmlformats.org/officeDocument/2006/relationships/hyperlink" Target="https://www.leanback.co.kr/goods/goods_view.php?goodsNo=1000000034&amp;gad_source=1&amp;gclid=Cj0KCQjwqcO_BhDaARIsACz62vOsBJnRo7LnvpNrvBDZJMGyEpEHpwzR-oSLGRZZjxbpxFIUB2Slml0aAv_cEALw_wcB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7"/>
  <sheetViews>
    <sheetView workbookViewId="0">
      <selection activeCell="F17" sqref="F17"/>
    </sheetView>
  </sheetViews>
  <sheetFormatPr defaultRowHeight="16.5" x14ac:dyDescent="0.3"/>
  <cols>
    <col min="3" max="3" width="18.625" customWidth="1"/>
    <col min="4" max="4" width="18.875" customWidth="1"/>
    <col min="6" max="6" width="13.875" customWidth="1"/>
    <col min="7" max="7" width="19.25" customWidth="1"/>
  </cols>
  <sheetData>
    <row r="1" spans="2:7" x14ac:dyDescent="0.3">
      <c r="B1" s="133" t="s">
        <v>305</v>
      </c>
      <c r="C1" s="133"/>
      <c r="D1" s="133"/>
      <c r="E1" s="133"/>
      <c r="F1" s="133"/>
      <c r="G1" s="133"/>
    </row>
    <row r="2" spans="2:7" ht="17.25" thickBot="1" x14ac:dyDescent="0.35">
      <c r="B2" s="134"/>
      <c r="C2" s="134"/>
      <c r="D2" s="134"/>
      <c r="E2" s="134"/>
      <c r="F2" s="134"/>
      <c r="G2" s="134"/>
    </row>
    <row r="3" spans="2:7" x14ac:dyDescent="0.3">
      <c r="B3" s="1" t="s">
        <v>0</v>
      </c>
      <c r="C3" s="2" t="s">
        <v>1</v>
      </c>
      <c r="D3" s="2" t="s">
        <v>2</v>
      </c>
      <c r="E3" s="2" t="s">
        <v>11</v>
      </c>
      <c r="F3" s="2"/>
      <c r="G3" s="3" t="s">
        <v>4</v>
      </c>
    </row>
    <row r="4" spans="2:7" x14ac:dyDescent="0.3">
      <c r="B4" s="4">
        <v>1</v>
      </c>
      <c r="C4" s="71" t="s">
        <v>299</v>
      </c>
      <c r="D4" s="5" t="s">
        <v>300</v>
      </c>
      <c r="E4" s="6">
        <v>25</v>
      </c>
      <c r="F4" s="94">
        <v>32428000</v>
      </c>
      <c r="G4" s="9" t="s">
        <v>306</v>
      </c>
    </row>
    <row r="5" spans="2:7" x14ac:dyDescent="0.3">
      <c r="B5" s="10">
        <v>2</v>
      </c>
      <c r="C5" s="71" t="s">
        <v>389</v>
      </c>
      <c r="D5" s="12" t="s">
        <v>301</v>
      </c>
      <c r="E5" s="12">
        <v>2</v>
      </c>
      <c r="F5" s="93">
        <v>7542000</v>
      </c>
      <c r="G5" s="15" t="s">
        <v>307</v>
      </c>
    </row>
    <row r="6" spans="2:7" x14ac:dyDescent="0.3">
      <c r="B6" s="4">
        <v>3</v>
      </c>
      <c r="C6" s="70" t="s">
        <v>302</v>
      </c>
      <c r="D6" s="12" t="s">
        <v>301</v>
      </c>
      <c r="E6" s="12">
        <v>5</v>
      </c>
      <c r="F6" s="93">
        <v>11860000</v>
      </c>
      <c r="G6" s="17" t="s">
        <v>309</v>
      </c>
    </row>
    <row r="7" spans="2:7" x14ac:dyDescent="0.3">
      <c r="B7" s="10">
        <v>4</v>
      </c>
      <c r="C7" s="71" t="s">
        <v>303</v>
      </c>
      <c r="D7" s="12" t="s">
        <v>301</v>
      </c>
      <c r="E7" s="12">
        <v>6</v>
      </c>
      <c r="F7" s="93">
        <v>4246730</v>
      </c>
      <c r="G7" s="17" t="s">
        <v>308</v>
      </c>
    </row>
    <row r="8" spans="2:7" x14ac:dyDescent="0.3">
      <c r="B8" s="4"/>
      <c r="C8" s="71"/>
      <c r="D8" s="12"/>
      <c r="E8" s="12"/>
      <c r="F8" s="13"/>
      <c r="G8" s="15"/>
    </row>
    <row r="9" spans="2:7" ht="17.25" thickBot="1" x14ac:dyDescent="0.35">
      <c r="B9" s="135" t="s">
        <v>304</v>
      </c>
      <c r="C9" s="136"/>
      <c r="D9" s="137"/>
      <c r="E9" s="95"/>
      <c r="F9" s="96">
        <f>SUM(F4:F8)</f>
        <v>56076730</v>
      </c>
      <c r="G9" s="97"/>
    </row>
    <row r="12" spans="2:7" ht="17.45" customHeight="1" x14ac:dyDescent="0.3">
      <c r="B12" s="133" t="s">
        <v>310</v>
      </c>
      <c r="C12" s="133"/>
      <c r="D12" s="133"/>
      <c r="E12" s="133"/>
      <c r="F12" s="133"/>
      <c r="G12" s="133"/>
    </row>
    <row r="13" spans="2:7" ht="18" customHeight="1" thickBot="1" x14ac:dyDescent="0.35">
      <c r="B13" s="134"/>
      <c r="C13" s="134"/>
      <c r="D13" s="134"/>
      <c r="E13" s="134"/>
      <c r="F13" s="134"/>
      <c r="G13" s="134"/>
    </row>
    <row r="14" spans="2:7" x14ac:dyDescent="0.3">
      <c r="B14" s="1" t="s">
        <v>0</v>
      </c>
      <c r="C14" s="2" t="s">
        <v>1</v>
      </c>
      <c r="D14" s="2" t="s">
        <v>2</v>
      </c>
      <c r="E14" s="2" t="s">
        <v>11</v>
      </c>
      <c r="F14" s="2"/>
      <c r="G14" s="3" t="s">
        <v>4</v>
      </c>
    </row>
    <row r="15" spans="2:7" ht="24" x14ac:dyDescent="0.3">
      <c r="B15" s="4">
        <v>1</v>
      </c>
      <c r="C15" s="71" t="s">
        <v>381</v>
      </c>
      <c r="D15" s="5" t="s">
        <v>382</v>
      </c>
      <c r="E15" s="6"/>
      <c r="F15" s="94">
        <v>39242000</v>
      </c>
      <c r="G15" s="100" t="s">
        <v>383</v>
      </c>
    </row>
    <row r="16" spans="2:7" x14ac:dyDescent="0.3">
      <c r="B16" s="10"/>
      <c r="C16" s="71"/>
      <c r="D16" s="12"/>
      <c r="E16" s="12"/>
      <c r="F16" s="93"/>
      <c r="G16" s="15"/>
    </row>
    <row r="17" spans="2:7" ht="17.25" thickBot="1" x14ac:dyDescent="0.35">
      <c r="B17" s="135" t="s">
        <v>304</v>
      </c>
      <c r="C17" s="136"/>
      <c r="D17" s="137"/>
      <c r="E17" s="95"/>
      <c r="F17" s="96">
        <f>SUM(F15:F16)</f>
        <v>39242000</v>
      </c>
      <c r="G17" s="97"/>
    </row>
  </sheetData>
  <mergeCells count="4">
    <mergeCell ref="B1:G2"/>
    <mergeCell ref="B9:D9"/>
    <mergeCell ref="B12:G13"/>
    <mergeCell ref="B17:D17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L13" sqref="L13"/>
    </sheetView>
  </sheetViews>
  <sheetFormatPr defaultColWidth="8.75" defaultRowHeight="16.5" x14ac:dyDescent="0.3"/>
  <cols>
    <col min="2" max="2" width="5" customWidth="1"/>
    <col min="3" max="3" width="20.25" customWidth="1"/>
    <col min="4" max="4" width="17" customWidth="1"/>
    <col min="5" max="5" width="5.75" customWidth="1"/>
    <col min="6" max="6" width="11.75" customWidth="1"/>
    <col min="7" max="7" width="12.125" customWidth="1"/>
    <col min="8" max="8" width="24.75" customWidth="1"/>
  </cols>
  <sheetData>
    <row r="1" spans="2:8" x14ac:dyDescent="0.3">
      <c r="B1" s="133" t="s">
        <v>7</v>
      </c>
      <c r="C1" s="133"/>
      <c r="D1" s="133"/>
      <c r="E1" s="133"/>
      <c r="F1" s="133"/>
      <c r="G1" s="133"/>
      <c r="H1" s="133"/>
    </row>
    <row r="2" spans="2:8" ht="17.25" thickBot="1" x14ac:dyDescent="0.35">
      <c r="B2" s="134"/>
      <c r="C2" s="134"/>
      <c r="D2" s="134"/>
      <c r="E2" s="134"/>
      <c r="F2" s="134"/>
      <c r="G2" s="134"/>
      <c r="H2" s="134"/>
    </row>
    <row r="3" spans="2:8" x14ac:dyDescent="0.3">
      <c r="B3" s="123" t="s">
        <v>8</v>
      </c>
      <c r="C3" s="124" t="s">
        <v>9</v>
      </c>
      <c r="D3" s="124" t="s">
        <v>10</v>
      </c>
      <c r="E3" s="124" t="s">
        <v>11</v>
      </c>
      <c r="F3" s="124"/>
      <c r="G3" s="124" t="s">
        <v>12</v>
      </c>
      <c r="H3" s="125" t="s">
        <v>13</v>
      </c>
    </row>
    <row r="4" spans="2:8" x14ac:dyDescent="0.3">
      <c r="B4" s="10">
        <v>1</v>
      </c>
      <c r="C4" s="11" t="s">
        <v>14</v>
      </c>
      <c r="D4" s="11" t="s">
        <v>15</v>
      </c>
      <c r="E4" s="12">
        <v>2</v>
      </c>
      <c r="F4" s="13">
        <v>1150000</v>
      </c>
      <c r="G4" s="14">
        <f>F4*E4</f>
        <v>2300000</v>
      </c>
      <c r="H4" s="15"/>
    </row>
    <row r="5" spans="2:8" x14ac:dyDescent="0.3">
      <c r="B5" s="10">
        <v>2</v>
      </c>
      <c r="C5" s="11" t="s">
        <v>16</v>
      </c>
      <c r="D5" s="12" t="s">
        <v>17</v>
      </c>
      <c r="E5" s="12">
        <v>2</v>
      </c>
      <c r="F5" s="13">
        <v>110000</v>
      </c>
      <c r="G5" s="14">
        <f>F5*E5</f>
        <v>220000</v>
      </c>
      <c r="H5" s="15"/>
    </row>
    <row r="6" spans="2:8" x14ac:dyDescent="0.3">
      <c r="B6" s="10">
        <v>3</v>
      </c>
      <c r="C6" s="12" t="s">
        <v>5</v>
      </c>
      <c r="D6" s="12" t="s">
        <v>18</v>
      </c>
      <c r="E6" s="12">
        <v>2</v>
      </c>
      <c r="F6" s="13">
        <v>77000</v>
      </c>
      <c r="G6" s="16">
        <f>F6*E6</f>
        <v>154000</v>
      </c>
      <c r="H6" s="17"/>
    </row>
    <row r="7" spans="2:8" x14ac:dyDescent="0.3">
      <c r="B7" s="10">
        <v>5</v>
      </c>
      <c r="C7" s="11" t="s">
        <v>19</v>
      </c>
      <c r="D7" s="12" t="s">
        <v>20</v>
      </c>
      <c r="E7" s="12">
        <v>1</v>
      </c>
      <c r="F7" s="13">
        <v>175000</v>
      </c>
      <c r="G7" s="14">
        <f t="shared" ref="G7" si="0">F7*E7</f>
        <v>175000</v>
      </c>
      <c r="H7" s="15"/>
    </row>
    <row r="8" spans="2:8" x14ac:dyDescent="0.3">
      <c r="B8" s="10">
        <v>6</v>
      </c>
      <c r="C8" s="12" t="s">
        <v>249</v>
      </c>
      <c r="D8" s="12" t="s">
        <v>413</v>
      </c>
      <c r="E8" s="12">
        <v>1</v>
      </c>
      <c r="F8" s="13">
        <v>1380000</v>
      </c>
      <c r="G8" s="14">
        <f>F8*E8</f>
        <v>1380000</v>
      </c>
      <c r="H8" s="15" t="s">
        <v>21</v>
      </c>
    </row>
    <row r="9" spans="2:8" x14ac:dyDescent="0.3">
      <c r="B9" s="10">
        <v>7</v>
      </c>
      <c r="C9" s="11" t="s">
        <v>19</v>
      </c>
      <c r="D9" s="12" t="s">
        <v>22</v>
      </c>
      <c r="E9" s="12">
        <v>2</v>
      </c>
      <c r="F9" s="13">
        <v>210000</v>
      </c>
      <c r="G9" s="14">
        <f>F9*E9</f>
        <v>420000</v>
      </c>
      <c r="H9" s="15"/>
    </row>
    <row r="10" spans="2:8" x14ac:dyDescent="0.3">
      <c r="B10" s="10">
        <v>9</v>
      </c>
      <c r="C10" s="12" t="s">
        <v>386</v>
      </c>
      <c r="D10" s="12" t="s">
        <v>387</v>
      </c>
      <c r="E10" s="12">
        <v>1</v>
      </c>
      <c r="F10" s="13">
        <v>1500000</v>
      </c>
      <c r="G10" s="14">
        <f>F10*E10</f>
        <v>1500000</v>
      </c>
      <c r="H10" s="15" t="s">
        <v>388</v>
      </c>
    </row>
    <row r="11" spans="2:8" x14ac:dyDescent="0.3">
      <c r="B11" s="10">
        <v>10</v>
      </c>
      <c r="C11" s="11" t="s">
        <v>24</v>
      </c>
      <c r="D11" s="11" t="s">
        <v>25</v>
      </c>
      <c r="E11" s="12">
        <v>1</v>
      </c>
      <c r="F11" s="13">
        <v>1050000</v>
      </c>
      <c r="G11" s="14">
        <f>F11*E11</f>
        <v>1050000</v>
      </c>
      <c r="H11" s="15"/>
    </row>
    <row r="12" spans="2:8" x14ac:dyDescent="0.3">
      <c r="B12" s="10">
        <v>11</v>
      </c>
      <c r="C12" s="12" t="s">
        <v>26</v>
      </c>
      <c r="D12" s="12" t="s">
        <v>27</v>
      </c>
      <c r="E12" s="12">
        <v>1</v>
      </c>
      <c r="F12" s="13">
        <v>1540000.0000000002</v>
      </c>
      <c r="G12" s="14">
        <f>F12*E12</f>
        <v>1540000.0000000002</v>
      </c>
      <c r="H12" s="15"/>
    </row>
    <row r="13" spans="2:8" x14ac:dyDescent="0.3">
      <c r="B13" s="10">
        <v>13</v>
      </c>
      <c r="C13" s="12" t="s">
        <v>29</v>
      </c>
      <c r="D13" s="12" t="s">
        <v>30</v>
      </c>
      <c r="E13" s="12">
        <v>3</v>
      </c>
      <c r="F13" s="13">
        <v>1500000</v>
      </c>
      <c r="G13" s="14">
        <f t="shared" ref="G13:G17" si="1">F13*E13</f>
        <v>4500000</v>
      </c>
      <c r="H13" s="15"/>
    </row>
    <row r="14" spans="2:8" x14ac:dyDescent="0.3">
      <c r="B14" s="10">
        <v>14</v>
      </c>
      <c r="C14" s="12" t="s">
        <v>31</v>
      </c>
      <c r="D14" s="12" t="s">
        <v>32</v>
      </c>
      <c r="E14" s="12">
        <v>1</v>
      </c>
      <c r="F14" s="13">
        <v>1540000.0000000002</v>
      </c>
      <c r="G14" s="14">
        <f t="shared" si="1"/>
        <v>1540000.0000000002</v>
      </c>
      <c r="H14" s="15"/>
    </row>
    <row r="15" spans="2:8" x14ac:dyDescent="0.3">
      <c r="B15" s="10">
        <v>15</v>
      </c>
      <c r="C15" s="12" t="s">
        <v>34</v>
      </c>
      <c r="D15" s="12" t="s">
        <v>35</v>
      </c>
      <c r="E15" s="12">
        <v>1</v>
      </c>
      <c r="F15" s="13">
        <v>320000</v>
      </c>
      <c r="G15" s="14">
        <f t="shared" si="1"/>
        <v>320000</v>
      </c>
      <c r="H15" s="15"/>
    </row>
    <row r="16" spans="2:8" x14ac:dyDescent="0.3">
      <c r="B16" s="10">
        <v>16</v>
      </c>
      <c r="C16" s="12" t="s">
        <v>37</v>
      </c>
      <c r="D16" s="12" t="s">
        <v>38</v>
      </c>
      <c r="E16" s="12">
        <v>1</v>
      </c>
      <c r="F16" s="13">
        <v>495000</v>
      </c>
      <c r="G16" s="16">
        <f t="shared" si="1"/>
        <v>495000</v>
      </c>
      <c r="H16" s="17">
        <v>142</v>
      </c>
    </row>
    <row r="17" spans="2:8" x14ac:dyDescent="0.3">
      <c r="B17" s="10">
        <v>17</v>
      </c>
      <c r="C17" s="11" t="s">
        <v>39</v>
      </c>
      <c r="D17" s="11" t="s">
        <v>40</v>
      </c>
      <c r="E17" s="11">
        <v>3</v>
      </c>
      <c r="F17" s="13">
        <v>539000</v>
      </c>
      <c r="G17" s="14">
        <f t="shared" si="1"/>
        <v>1617000</v>
      </c>
      <c r="H17" s="15"/>
    </row>
    <row r="18" spans="2:8" x14ac:dyDescent="0.3">
      <c r="B18" s="10">
        <v>18</v>
      </c>
      <c r="C18" s="12" t="s">
        <v>41</v>
      </c>
      <c r="D18" s="12" t="s">
        <v>42</v>
      </c>
      <c r="E18" s="12">
        <v>2</v>
      </c>
      <c r="F18" s="13">
        <v>605000</v>
      </c>
      <c r="G18" s="14">
        <f>F18*E18</f>
        <v>1210000</v>
      </c>
      <c r="H18" s="15"/>
    </row>
    <row r="19" spans="2:8" x14ac:dyDescent="0.3">
      <c r="B19" s="10">
        <v>19</v>
      </c>
      <c r="C19" s="12" t="s">
        <v>44</v>
      </c>
      <c r="D19" s="12" t="s">
        <v>33</v>
      </c>
      <c r="E19" s="12">
        <v>2</v>
      </c>
      <c r="F19" s="13">
        <v>869000.00000000012</v>
      </c>
      <c r="G19" s="16">
        <f>F19*E19</f>
        <v>1738000.0000000002</v>
      </c>
      <c r="H19" s="15"/>
    </row>
    <row r="20" spans="2:8" x14ac:dyDescent="0.3">
      <c r="B20" s="10">
        <v>20</v>
      </c>
      <c r="C20" s="49" t="s">
        <v>139</v>
      </c>
      <c r="D20" s="49" t="s">
        <v>246</v>
      </c>
      <c r="E20" s="104">
        <v>1</v>
      </c>
      <c r="F20" s="103">
        <v>150000</v>
      </c>
      <c r="G20" s="103">
        <f t="shared" ref="G20:G23" si="2">+F20*E20</f>
        <v>150000</v>
      </c>
      <c r="H20" s="126"/>
    </row>
    <row r="21" spans="2:8" x14ac:dyDescent="0.3">
      <c r="B21" s="10">
        <v>21</v>
      </c>
      <c r="C21" s="127" t="s">
        <v>159</v>
      </c>
      <c r="D21" s="127" t="s">
        <v>245</v>
      </c>
      <c r="E21" s="104">
        <v>1</v>
      </c>
      <c r="F21" s="104">
        <v>154000</v>
      </c>
      <c r="G21" s="103">
        <f t="shared" si="2"/>
        <v>154000</v>
      </c>
      <c r="H21" s="128"/>
    </row>
    <row r="22" spans="2:8" x14ac:dyDescent="0.3">
      <c r="B22" s="10">
        <v>22</v>
      </c>
      <c r="C22" s="129" t="s">
        <v>140</v>
      </c>
      <c r="D22" s="129" t="s">
        <v>141</v>
      </c>
      <c r="E22" s="104">
        <v>1</v>
      </c>
      <c r="F22" s="103">
        <v>165000</v>
      </c>
      <c r="G22" s="103">
        <f t="shared" si="2"/>
        <v>165000</v>
      </c>
      <c r="H22" s="126"/>
    </row>
    <row r="23" spans="2:8" x14ac:dyDescent="0.3">
      <c r="B23" s="10">
        <v>23</v>
      </c>
      <c r="C23" s="129" t="s">
        <v>260</v>
      </c>
      <c r="D23" s="129" t="s">
        <v>261</v>
      </c>
      <c r="E23" s="104">
        <v>1</v>
      </c>
      <c r="F23" s="103">
        <v>6300000</v>
      </c>
      <c r="G23" s="103">
        <f t="shared" si="2"/>
        <v>6300000</v>
      </c>
      <c r="H23" s="126" t="s">
        <v>264</v>
      </c>
    </row>
    <row r="24" spans="2:8" x14ac:dyDescent="0.3">
      <c r="B24" s="10">
        <v>24</v>
      </c>
      <c r="C24" s="11" t="s">
        <v>276</v>
      </c>
      <c r="D24" s="130" t="s">
        <v>265</v>
      </c>
      <c r="E24" s="104">
        <v>1</v>
      </c>
      <c r="F24" s="103">
        <v>3800000</v>
      </c>
      <c r="G24" s="103">
        <f t="shared" ref="G24:G25" si="3">+F24*E24</f>
        <v>3800000</v>
      </c>
      <c r="H24" s="126" t="s">
        <v>277</v>
      </c>
    </row>
    <row r="25" spans="2:8" x14ac:dyDescent="0.3">
      <c r="B25" s="10">
        <v>25</v>
      </c>
      <c r="C25" s="131" t="s">
        <v>390</v>
      </c>
      <c r="D25" s="132" t="s">
        <v>391</v>
      </c>
      <c r="E25" s="104">
        <v>1</v>
      </c>
      <c r="F25" s="103">
        <v>2000000</v>
      </c>
      <c r="G25" s="103">
        <f t="shared" si="3"/>
        <v>2000000</v>
      </c>
      <c r="H25" s="126"/>
    </row>
    <row r="26" spans="2:8" x14ac:dyDescent="0.3">
      <c r="B26" s="10"/>
      <c r="C26" s="138" t="s">
        <v>45</v>
      </c>
      <c r="D26" s="139"/>
      <c r="E26" s="12"/>
      <c r="F26" s="13"/>
      <c r="G26" s="16">
        <f t="shared" ref="G26:G28" si="4">F26*E26</f>
        <v>0</v>
      </c>
      <c r="H26" s="15"/>
    </row>
    <row r="27" spans="2:8" x14ac:dyDescent="0.3">
      <c r="B27" s="10"/>
      <c r="C27" s="140"/>
      <c r="D27" s="141"/>
      <c r="E27" s="12"/>
      <c r="F27" s="13"/>
      <c r="G27" s="16">
        <f t="shared" si="4"/>
        <v>0</v>
      </c>
      <c r="H27" s="17"/>
    </row>
    <row r="28" spans="2:8" ht="15.6" customHeight="1" x14ac:dyDescent="0.3">
      <c r="B28" s="10"/>
      <c r="C28" s="11"/>
      <c r="D28" s="12"/>
      <c r="E28" s="12"/>
      <c r="F28" s="13"/>
      <c r="G28" s="16">
        <f t="shared" si="4"/>
        <v>0</v>
      </c>
      <c r="H28" s="17"/>
    </row>
    <row r="29" spans="2:8" ht="17.25" thickBot="1" x14ac:dyDescent="0.35">
      <c r="B29" s="19"/>
      <c r="C29" s="20"/>
      <c r="D29" s="20"/>
      <c r="E29" s="20"/>
      <c r="F29" s="21" t="s">
        <v>46</v>
      </c>
      <c r="G29" s="22">
        <f>SUM(G4:G28)</f>
        <v>32728000</v>
      </c>
      <c r="H29" s="23"/>
    </row>
  </sheetData>
  <mergeCells count="2">
    <mergeCell ref="B1:H2"/>
    <mergeCell ref="C26:D27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13"/>
  <sheetViews>
    <sheetView zoomScaleNormal="100" workbookViewId="0">
      <selection activeCell="H10" sqref="H10"/>
    </sheetView>
  </sheetViews>
  <sheetFormatPr defaultColWidth="8.75" defaultRowHeight="16.5" x14ac:dyDescent="0.3"/>
  <cols>
    <col min="1" max="2" width="8.75" style="58"/>
    <col min="3" max="3" width="23.5" style="58" bestFit="1" customWidth="1"/>
    <col min="4" max="4" width="11.25" style="58" customWidth="1"/>
    <col min="5" max="5" width="17.875" style="58" bestFit="1" customWidth="1"/>
    <col min="6" max="6" width="10.75" style="59" bestFit="1" customWidth="1"/>
    <col min="7" max="7" width="11.125" style="58" bestFit="1" customWidth="1"/>
    <col min="8" max="8" width="12.125" style="59" customWidth="1"/>
    <col min="9" max="9" width="20.375" style="58" customWidth="1"/>
    <col min="10" max="16384" width="8.75" style="58"/>
  </cols>
  <sheetData>
    <row r="2" spans="2:12" ht="26.25" x14ac:dyDescent="0.3">
      <c r="B2" s="144" t="s">
        <v>384</v>
      </c>
      <c r="C2" s="145"/>
      <c r="D2" s="145"/>
      <c r="E2" s="145"/>
      <c r="F2" s="145"/>
      <c r="G2" s="145"/>
      <c r="H2" s="145"/>
      <c r="I2" s="145"/>
    </row>
    <row r="3" spans="2:12" ht="17.25" thickBot="1" x14ac:dyDescent="0.35"/>
    <row r="4" spans="2:12" ht="17.25" thickBot="1" x14ac:dyDescent="0.35">
      <c r="B4" s="84" t="s">
        <v>0</v>
      </c>
      <c r="C4" s="85" t="s">
        <v>1</v>
      </c>
      <c r="D4" s="86"/>
      <c r="E4" s="86" t="s">
        <v>254</v>
      </c>
      <c r="F4" s="86" t="s">
        <v>68</v>
      </c>
      <c r="G4" s="85" t="s">
        <v>252</v>
      </c>
      <c r="H4" s="86" t="s">
        <v>253</v>
      </c>
      <c r="I4" s="87" t="s">
        <v>258</v>
      </c>
    </row>
    <row r="5" spans="2:12" ht="70.900000000000006" customHeight="1" x14ac:dyDescent="0.3">
      <c r="B5" s="88">
        <v>1</v>
      </c>
      <c r="C5" s="89" t="s">
        <v>256</v>
      </c>
      <c r="D5" s="89"/>
      <c r="E5" s="89" t="s">
        <v>281</v>
      </c>
      <c r="F5" s="90">
        <v>764000</v>
      </c>
      <c r="G5" s="89">
        <v>3</v>
      </c>
      <c r="H5" s="90">
        <f t="shared" ref="H5:H7" si="0">PRODUCT(F5:G5)</f>
        <v>2292000</v>
      </c>
      <c r="I5" s="91" t="s">
        <v>257</v>
      </c>
    </row>
    <row r="6" spans="2:12" ht="65.45" customHeight="1" x14ac:dyDescent="0.3">
      <c r="B6" s="65">
        <v>2</v>
      </c>
      <c r="C6" s="60" t="s">
        <v>255</v>
      </c>
      <c r="D6" s="60"/>
      <c r="E6" s="60" t="s">
        <v>282</v>
      </c>
      <c r="F6" s="61">
        <v>1750000</v>
      </c>
      <c r="G6" s="60">
        <v>3</v>
      </c>
      <c r="H6" s="61">
        <f t="shared" si="0"/>
        <v>5250000</v>
      </c>
      <c r="I6" s="66" t="s">
        <v>257</v>
      </c>
    </row>
    <row r="7" spans="2:12" ht="67.150000000000006" customHeight="1" x14ac:dyDescent="0.3">
      <c r="B7" s="65">
        <v>3</v>
      </c>
      <c r="C7" s="82" t="s">
        <v>259</v>
      </c>
      <c r="D7" s="60"/>
      <c r="E7" s="60" t="s">
        <v>283</v>
      </c>
      <c r="F7" s="61">
        <v>1708000</v>
      </c>
      <c r="G7" s="60">
        <v>0</v>
      </c>
      <c r="H7" s="61">
        <f t="shared" si="0"/>
        <v>0</v>
      </c>
      <c r="I7" s="92" t="s">
        <v>407</v>
      </c>
      <c r="L7"/>
    </row>
    <row r="8" spans="2:12" ht="67.150000000000006" customHeight="1" x14ac:dyDescent="0.3">
      <c r="B8" s="65">
        <v>4</v>
      </c>
      <c r="C8" s="82" t="s">
        <v>295</v>
      </c>
      <c r="D8" s="60"/>
      <c r="E8" s="60"/>
      <c r="F8" s="61">
        <v>178000</v>
      </c>
      <c r="G8" s="60">
        <v>1</v>
      </c>
      <c r="H8" s="61"/>
      <c r="I8" s="92" t="s">
        <v>408</v>
      </c>
    </row>
    <row r="9" spans="2:12" ht="67.150000000000006" customHeight="1" x14ac:dyDescent="0.3">
      <c r="B9" s="65">
        <v>5</v>
      </c>
      <c r="C9" s="82" t="s">
        <v>296</v>
      </c>
      <c r="D9" s="60"/>
      <c r="E9" s="60"/>
      <c r="F9" s="61">
        <v>96000</v>
      </c>
      <c r="G9" s="60">
        <v>1</v>
      </c>
      <c r="H9" s="61"/>
      <c r="I9" s="92" t="s">
        <v>409</v>
      </c>
    </row>
    <row r="10" spans="2:12" ht="18" thickBot="1" x14ac:dyDescent="0.35">
      <c r="B10" s="142" t="s">
        <v>262</v>
      </c>
      <c r="C10" s="143"/>
      <c r="D10" s="143"/>
      <c r="E10" s="143"/>
      <c r="F10" s="143"/>
      <c r="G10" s="143"/>
      <c r="H10" s="69">
        <f>SUM(H5:H9)</f>
        <v>7542000</v>
      </c>
      <c r="I10" s="110"/>
    </row>
    <row r="12" spans="2:12" x14ac:dyDescent="0.3">
      <c r="F12"/>
    </row>
    <row r="13" spans="2:12" x14ac:dyDescent="0.3">
      <c r="D13"/>
    </row>
  </sheetData>
  <mergeCells count="2">
    <mergeCell ref="B10:G10"/>
    <mergeCell ref="B2:I2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16"/>
  <sheetViews>
    <sheetView workbookViewId="0">
      <selection activeCell="H16" sqref="H16"/>
    </sheetView>
  </sheetViews>
  <sheetFormatPr defaultRowHeight="16.5" x14ac:dyDescent="0.3"/>
  <cols>
    <col min="2" max="2" width="5" customWidth="1"/>
    <col min="3" max="3" width="13.625" customWidth="1"/>
    <col min="4" max="4" width="21.375" customWidth="1"/>
    <col min="5" max="5" width="13.375" customWidth="1"/>
    <col min="6" max="6" width="5.75" customWidth="1"/>
    <col min="7" max="7" width="11.75" customWidth="1"/>
    <col min="8" max="8" width="12.125" customWidth="1"/>
    <col min="9" max="9" width="24.75" customWidth="1"/>
  </cols>
  <sheetData>
    <row r="1" spans="2:9" x14ac:dyDescent="0.3">
      <c r="B1" s="133" t="s">
        <v>275</v>
      </c>
      <c r="C1" s="133"/>
      <c r="D1" s="133"/>
      <c r="E1" s="133"/>
      <c r="F1" s="133"/>
      <c r="G1" s="133"/>
      <c r="H1" s="133"/>
      <c r="I1" s="133"/>
    </row>
    <row r="2" spans="2:9" ht="17.25" thickBot="1" x14ac:dyDescent="0.35">
      <c r="B2" s="134"/>
      <c r="C2" s="134"/>
      <c r="D2" s="134"/>
      <c r="E2" s="134"/>
      <c r="F2" s="134"/>
      <c r="G2" s="134"/>
      <c r="H2" s="134"/>
      <c r="I2" s="134"/>
    </row>
    <row r="3" spans="2:9" x14ac:dyDescent="0.3">
      <c r="B3" s="1" t="s">
        <v>0</v>
      </c>
      <c r="C3" s="2" t="s">
        <v>266</v>
      </c>
      <c r="D3" s="2"/>
      <c r="E3" s="2" t="s">
        <v>2</v>
      </c>
      <c r="F3" s="2" t="s">
        <v>11</v>
      </c>
      <c r="G3" s="2"/>
      <c r="H3" s="2" t="s">
        <v>3</v>
      </c>
      <c r="I3" s="3" t="s">
        <v>4</v>
      </c>
    </row>
    <row r="4" spans="2:9" x14ac:dyDescent="0.3">
      <c r="B4" s="4">
        <v>1</v>
      </c>
      <c r="C4" s="146" t="s">
        <v>273</v>
      </c>
      <c r="D4" s="5" t="s">
        <v>269</v>
      </c>
      <c r="E4" s="5" t="s">
        <v>270</v>
      </c>
      <c r="F4" s="6">
        <v>20</v>
      </c>
      <c r="G4" s="7">
        <v>190000</v>
      </c>
      <c r="H4" s="8">
        <f>G4*F4</f>
        <v>3800000</v>
      </c>
      <c r="I4" s="154" t="s">
        <v>272</v>
      </c>
    </row>
    <row r="5" spans="2:9" x14ac:dyDescent="0.3">
      <c r="B5" s="4">
        <v>2</v>
      </c>
      <c r="C5" s="147"/>
      <c r="D5" s="5" t="s">
        <v>269</v>
      </c>
      <c r="E5" s="5" t="s">
        <v>271</v>
      </c>
      <c r="F5" s="6">
        <v>4</v>
      </c>
      <c r="G5" s="7">
        <v>160000</v>
      </c>
      <c r="H5" s="8">
        <f t="shared" ref="H5:H11" si="0">G5*F5</f>
        <v>640000</v>
      </c>
      <c r="I5" s="155"/>
    </row>
    <row r="6" spans="2:9" x14ac:dyDescent="0.3">
      <c r="B6" s="4">
        <v>3</v>
      </c>
      <c r="C6" s="147"/>
      <c r="D6" s="5" t="s">
        <v>298</v>
      </c>
      <c r="E6" s="5"/>
      <c r="F6" s="6">
        <v>24</v>
      </c>
      <c r="G6" s="7">
        <v>40000</v>
      </c>
      <c r="H6" s="8">
        <f t="shared" si="0"/>
        <v>960000</v>
      </c>
      <c r="I6" s="155"/>
    </row>
    <row r="7" spans="2:9" x14ac:dyDescent="0.3">
      <c r="B7" s="4">
        <v>4</v>
      </c>
      <c r="C7" s="147"/>
      <c r="D7" s="5" t="s">
        <v>274</v>
      </c>
      <c r="E7" s="5"/>
      <c r="F7" s="6">
        <v>88</v>
      </c>
      <c r="G7" s="7">
        <v>70000</v>
      </c>
      <c r="H7" s="8">
        <f t="shared" si="0"/>
        <v>6160000</v>
      </c>
      <c r="I7" s="156"/>
    </row>
    <row r="8" spans="2:9" x14ac:dyDescent="0.3">
      <c r="B8" s="4">
        <v>5</v>
      </c>
      <c r="C8" s="147"/>
      <c r="D8" s="5" t="s">
        <v>297</v>
      </c>
      <c r="E8" s="5"/>
      <c r="F8" s="6">
        <v>1</v>
      </c>
      <c r="G8" s="7">
        <v>300000</v>
      </c>
      <c r="H8" s="8">
        <f t="shared" si="0"/>
        <v>300000</v>
      </c>
      <c r="I8" s="9"/>
    </row>
    <row r="9" spans="2:9" x14ac:dyDescent="0.3">
      <c r="B9" s="10"/>
      <c r="C9" s="146" t="s">
        <v>267</v>
      </c>
      <c r="D9" s="5"/>
      <c r="E9" s="12"/>
      <c r="F9" s="12">
        <v>0</v>
      </c>
      <c r="G9" s="13">
        <v>0</v>
      </c>
      <c r="H9" s="14">
        <f t="shared" si="0"/>
        <v>0</v>
      </c>
      <c r="I9" s="15"/>
    </row>
    <row r="10" spans="2:9" x14ac:dyDescent="0.3">
      <c r="B10" s="4"/>
      <c r="C10" s="147"/>
      <c r="D10" s="5"/>
      <c r="E10" s="11"/>
      <c r="F10" s="12">
        <v>0</v>
      </c>
      <c r="G10" s="13">
        <v>0</v>
      </c>
      <c r="H10" s="14">
        <f t="shared" si="0"/>
        <v>0</v>
      </c>
      <c r="I10" s="15"/>
    </row>
    <row r="11" spans="2:9" x14ac:dyDescent="0.3">
      <c r="B11" s="10"/>
      <c r="C11" s="148"/>
      <c r="D11" s="5"/>
      <c r="E11" s="11"/>
      <c r="F11" s="12">
        <v>0</v>
      </c>
      <c r="G11" s="13">
        <v>0</v>
      </c>
      <c r="H11" s="14">
        <f t="shared" si="0"/>
        <v>0</v>
      </c>
      <c r="I11" s="15"/>
    </row>
    <row r="12" spans="2:9" x14ac:dyDescent="0.3">
      <c r="B12" s="10"/>
      <c r="C12" s="149"/>
      <c r="D12" s="150"/>
      <c r="E12" s="151"/>
      <c r="F12" s="12"/>
      <c r="G12" s="13"/>
      <c r="H12" s="14"/>
      <c r="I12" s="15"/>
    </row>
    <row r="13" spans="2:9" x14ac:dyDescent="0.3">
      <c r="B13" s="4"/>
      <c r="C13" s="138" t="s">
        <v>45</v>
      </c>
      <c r="D13" s="152"/>
      <c r="E13" s="139"/>
      <c r="F13" s="12"/>
      <c r="G13" s="13"/>
      <c r="H13" s="16">
        <f t="shared" ref="H13:H15" si="1">G13*F13</f>
        <v>0</v>
      </c>
      <c r="I13" s="15"/>
    </row>
    <row r="14" spans="2:9" x14ac:dyDescent="0.3">
      <c r="B14" s="10"/>
      <c r="C14" s="140"/>
      <c r="D14" s="153"/>
      <c r="E14" s="141"/>
      <c r="F14" s="12"/>
      <c r="G14" s="13"/>
      <c r="H14" s="16">
        <f t="shared" si="1"/>
        <v>0</v>
      </c>
      <c r="I14" s="17"/>
    </row>
    <row r="15" spans="2:9" x14ac:dyDescent="0.3">
      <c r="B15" s="10"/>
      <c r="C15" s="11"/>
      <c r="D15" s="11"/>
      <c r="E15" s="12"/>
      <c r="F15" s="12"/>
      <c r="G15" s="18"/>
      <c r="H15" s="16">
        <f t="shared" si="1"/>
        <v>0</v>
      </c>
      <c r="I15" s="17"/>
    </row>
    <row r="16" spans="2:9" ht="17.25" thickBot="1" x14ac:dyDescent="0.35">
      <c r="B16" s="19"/>
      <c r="C16" s="20"/>
      <c r="D16" s="20"/>
      <c r="E16" s="20"/>
      <c r="F16" s="20"/>
      <c r="G16" s="21" t="s">
        <v>6</v>
      </c>
      <c r="H16" s="22">
        <f>SUM(H4:H15)</f>
        <v>11860000</v>
      </c>
      <c r="I16" s="23"/>
    </row>
  </sheetData>
  <mergeCells count="6">
    <mergeCell ref="C9:C11"/>
    <mergeCell ref="C12:E12"/>
    <mergeCell ref="C13:E14"/>
    <mergeCell ref="I4:I7"/>
    <mergeCell ref="B1:I2"/>
    <mergeCell ref="C4:C8"/>
  </mergeCells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I12"/>
  <sheetViews>
    <sheetView topLeftCell="A8" workbookViewId="0">
      <selection activeCell="G7" sqref="G7:G11"/>
    </sheetView>
  </sheetViews>
  <sheetFormatPr defaultRowHeight="16.5" x14ac:dyDescent="0.3"/>
  <cols>
    <col min="2" max="2" width="5.25" bestFit="1" customWidth="1"/>
    <col min="3" max="3" width="24.125" bestFit="1" customWidth="1"/>
    <col min="4" max="4" width="14.125" customWidth="1"/>
    <col min="5" max="5" width="17.875" bestFit="1" customWidth="1"/>
    <col min="6" max="6" width="10.75" bestFit="1" customWidth="1"/>
    <col min="7" max="7" width="5.25" bestFit="1" customWidth="1"/>
    <col min="8" max="8" width="11.75" bestFit="1" customWidth="1"/>
    <col min="9" max="9" width="46" style="79" customWidth="1"/>
  </cols>
  <sheetData>
    <row r="3" spans="2:9" ht="26.25" x14ac:dyDescent="0.3">
      <c r="B3" s="144" t="s">
        <v>263</v>
      </c>
      <c r="C3" s="145"/>
      <c r="D3" s="145"/>
      <c r="E3" s="145"/>
      <c r="F3" s="145"/>
      <c r="G3" s="145"/>
      <c r="H3" s="145"/>
      <c r="I3" s="145"/>
    </row>
    <row r="4" spans="2:9" ht="17.25" thickBot="1" x14ac:dyDescent="0.35">
      <c r="B4" s="58"/>
      <c r="C4" s="58"/>
      <c r="D4" s="58"/>
      <c r="E4" s="58"/>
      <c r="F4" s="59"/>
      <c r="G4" s="58"/>
      <c r="H4" s="59"/>
      <c r="I4" s="77"/>
    </row>
    <row r="5" spans="2:9" x14ac:dyDescent="0.3">
      <c r="B5" s="62" t="s">
        <v>0</v>
      </c>
      <c r="C5" s="63" t="s">
        <v>1</v>
      </c>
      <c r="D5" s="64"/>
      <c r="E5" s="64" t="s">
        <v>254</v>
      </c>
      <c r="F5" s="64" t="s">
        <v>68</v>
      </c>
      <c r="G5" s="63" t="s">
        <v>252</v>
      </c>
      <c r="H5" s="64" t="s">
        <v>253</v>
      </c>
      <c r="I5" s="78" t="s">
        <v>258</v>
      </c>
    </row>
    <row r="6" spans="2:9" x14ac:dyDescent="0.3">
      <c r="B6" s="72">
        <v>1</v>
      </c>
      <c r="C6" s="73" t="s">
        <v>278</v>
      </c>
      <c r="D6" s="73"/>
      <c r="E6" s="73" t="s">
        <v>285</v>
      </c>
      <c r="F6" s="74"/>
      <c r="G6" s="73"/>
      <c r="H6" s="74">
        <f>PRODUCT(F6:G6)</f>
        <v>0</v>
      </c>
      <c r="I6" s="75"/>
    </row>
    <row r="7" spans="2:9" ht="77.45" customHeight="1" x14ac:dyDescent="0.3">
      <c r="B7" s="65">
        <v>2</v>
      </c>
      <c r="C7" s="60" t="s">
        <v>279</v>
      </c>
      <c r="D7" s="60"/>
      <c r="E7" s="60"/>
      <c r="F7" s="61">
        <v>740630</v>
      </c>
      <c r="G7" s="60">
        <v>1</v>
      </c>
      <c r="H7" s="61">
        <f>PRODUCT(F7:G7)</f>
        <v>740630</v>
      </c>
      <c r="I7" s="76" t="s">
        <v>288</v>
      </c>
    </row>
    <row r="8" spans="2:9" ht="82.15" customHeight="1" x14ac:dyDescent="0.3">
      <c r="B8" s="72">
        <v>3</v>
      </c>
      <c r="C8" s="82" t="s">
        <v>286</v>
      </c>
      <c r="D8" s="60"/>
      <c r="E8" s="60"/>
      <c r="F8" s="61">
        <v>86210</v>
      </c>
      <c r="G8" s="60">
        <v>10</v>
      </c>
      <c r="H8" s="61">
        <f>PRODUCT(F8:G8)</f>
        <v>862100</v>
      </c>
      <c r="I8" s="76" t="s">
        <v>287</v>
      </c>
    </row>
    <row r="9" spans="2:9" ht="82.15" customHeight="1" x14ac:dyDescent="0.3">
      <c r="B9" s="65">
        <v>4</v>
      </c>
      <c r="C9" s="82" t="s">
        <v>291</v>
      </c>
      <c r="D9" s="60"/>
      <c r="E9" s="60" t="s">
        <v>289</v>
      </c>
      <c r="F9" s="61">
        <v>123000</v>
      </c>
      <c r="G9" s="60">
        <v>2</v>
      </c>
      <c r="H9" s="61">
        <f t="shared" ref="H9:H11" si="0">PRODUCT(F9:G9)</f>
        <v>246000</v>
      </c>
      <c r="I9" s="76" t="s">
        <v>292</v>
      </c>
    </row>
    <row r="10" spans="2:9" ht="82.15" customHeight="1" x14ac:dyDescent="0.3">
      <c r="B10" s="72">
        <v>5</v>
      </c>
      <c r="C10" s="82" t="s">
        <v>290</v>
      </c>
      <c r="D10" s="60"/>
      <c r="E10" s="60"/>
      <c r="F10" s="61">
        <v>99000</v>
      </c>
      <c r="G10" s="60">
        <v>2</v>
      </c>
      <c r="H10" s="61">
        <f t="shared" si="0"/>
        <v>198000</v>
      </c>
      <c r="I10" s="76" t="s">
        <v>293</v>
      </c>
    </row>
    <row r="11" spans="2:9" ht="82.15" customHeight="1" thickBot="1" x14ac:dyDescent="0.35">
      <c r="B11" s="65">
        <v>6</v>
      </c>
      <c r="C11" s="67" t="s">
        <v>280</v>
      </c>
      <c r="D11" s="68"/>
      <c r="E11" s="68" t="s">
        <v>284</v>
      </c>
      <c r="F11" s="69">
        <v>1100000</v>
      </c>
      <c r="G11" s="68">
        <v>2</v>
      </c>
      <c r="H11" s="61">
        <f t="shared" si="0"/>
        <v>2200000</v>
      </c>
      <c r="I11" s="83" t="s">
        <v>294</v>
      </c>
    </row>
    <row r="12" spans="2:9" ht="18" thickBot="1" x14ac:dyDescent="0.35">
      <c r="B12" s="157" t="s">
        <v>262</v>
      </c>
      <c r="C12" s="158"/>
      <c r="D12" s="158"/>
      <c r="E12" s="158"/>
      <c r="F12" s="158"/>
      <c r="G12" s="159"/>
      <c r="H12" s="80">
        <f>SUM(H6:H11)</f>
        <v>4246730</v>
      </c>
      <c r="I12" s="81"/>
    </row>
  </sheetData>
  <mergeCells count="2">
    <mergeCell ref="B3:I3"/>
    <mergeCell ref="B12:G12"/>
  </mergeCells>
  <phoneticPr fontId="3" type="noConversion"/>
  <hyperlinks>
    <hyperlink ref="I8" r:id="rId1" xr:uid="{00000000-0004-0000-0400-000000000000}"/>
    <hyperlink ref="I7" r:id="rId2" xr:uid="{00000000-0004-0000-0400-000001000000}"/>
    <hyperlink ref="I9" r:id="rId3" location="start" xr:uid="{00000000-0004-0000-0400-000002000000}"/>
    <hyperlink ref="I10" r:id="rId4" xr:uid="{00000000-0004-0000-0400-000003000000}"/>
  </hyperlinks>
  <pageMargins left="0.7" right="0.7" top="0.75" bottom="0.75" header="0.3" footer="0.3"/>
  <pageSetup paperSize="9" orientation="portrait" r:id="rId5"/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H136"/>
  <sheetViews>
    <sheetView topLeftCell="A115" workbookViewId="0">
      <selection activeCell="D135" sqref="D135"/>
    </sheetView>
  </sheetViews>
  <sheetFormatPr defaultRowHeight="16.5" x14ac:dyDescent="0.3"/>
  <cols>
    <col min="3" max="3" width="21.625" customWidth="1"/>
    <col min="4" max="4" width="18.375" customWidth="1"/>
    <col min="6" max="6" width="12.875" customWidth="1"/>
    <col min="7" max="7" width="15.125" customWidth="1"/>
    <col min="8" max="8" width="11.375" customWidth="1"/>
  </cols>
  <sheetData>
    <row r="1" spans="2:8" ht="35.25" x14ac:dyDescent="0.3">
      <c r="B1" s="24"/>
      <c r="C1" s="24"/>
      <c r="D1" s="133" t="s">
        <v>47</v>
      </c>
      <c r="E1" s="133"/>
      <c r="F1" s="133"/>
      <c r="G1" s="165"/>
      <c r="H1" s="165"/>
    </row>
    <row r="2" spans="2:8" ht="36" thickBot="1" x14ac:dyDescent="0.35">
      <c r="B2" s="24"/>
      <c r="C2" s="24"/>
      <c r="D2" s="134"/>
      <c r="E2" s="134"/>
      <c r="F2" s="134"/>
      <c r="G2" s="165"/>
      <c r="H2" s="165"/>
    </row>
    <row r="3" spans="2:8" x14ac:dyDescent="0.3">
      <c r="B3" s="25" t="s">
        <v>8</v>
      </c>
      <c r="C3" s="26" t="s">
        <v>48</v>
      </c>
      <c r="D3" s="26" t="s">
        <v>161</v>
      </c>
      <c r="E3" s="27" t="s">
        <v>11</v>
      </c>
      <c r="F3" s="26" t="s">
        <v>162</v>
      </c>
      <c r="G3" s="26" t="s">
        <v>12</v>
      </c>
      <c r="H3" s="28" t="s">
        <v>13</v>
      </c>
    </row>
    <row r="4" spans="2:8" x14ac:dyDescent="0.3">
      <c r="B4" s="29">
        <v>1</v>
      </c>
      <c r="C4" s="30" t="s">
        <v>163</v>
      </c>
      <c r="D4" s="30" t="s">
        <v>49</v>
      </c>
      <c r="E4" s="31">
        <v>80</v>
      </c>
      <c r="F4" s="32">
        <v>3800</v>
      </c>
      <c r="G4" s="32">
        <f t="shared" ref="G4:G27" si="0">+F4*E4</f>
        <v>304000</v>
      </c>
      <c r="H4" s="33" t="s">
        <v>50</v>
      </c>
    </row>
    <row r="5" spans="2:8" x14ac:dyDescent="0.3">
      <c r="B5" s="29">
        <v>2</v>
      </c>
      <c r="C5" s="30" t="s">
        <v>51</v>
      </c>
      <c r="D5" s="30">
        <v>5468</v>
      </c>
      <c r="E5" s="31">
        <v>30</v>
      </c>
      <c r="F5" s="32">
        <v>3650</v>
      </c>
      <c r="G5" s="32">
        <f t="shared" si="0"/>
        <v>109500</v>
      </c>
      <c r="H5" s="33" t="s">
        <v>50</v>
      </c>
    </row>
    <row r="6" spans="2:8" x14ac:dyDescent="0.3">
      <c r="B6" s="29">
        <v>3</v>
      </c>
      <c r="C6" s="30" t="s">
        <v>164</v>
      </c>
      <c r="D6" s="30">
        <v>5445</v>
      </c>
      <c r="E6" s="31">
        <v>50</v>
      </c>
      <c r="F6" s="32">
        <v>6900</v>
      </c>
      <c r="G6" s="32">
        <f t="shared" si="0"/>
        <v>345000</v>
      </c>
      <c r="H6" s="34" t="s">
        <v>50</v>
      </c>
    </row>
    <row r="7" spans="2:8" x14ac:dyDescent="0.3">
      <c r="B7" s="29">
        <v>4</v>
      </c>
      <c r="C7" s="30" t="s">
        <v>165</v>
      </c>
      <c r="D7" s="30">
        <v>2085</v>
      </c>
      <c r="E7" s="31">
        <v>80</v>
      </c>
      <c r="F7" s="32">
        <v>3850</v>
      </c>
      <c r="G7" s="32">
        <f t="shared" si="0"/>
        <v>308000</v>
      </c>
      <c r="H7" s="33" t="s">
        <v>50</v>
      </c>
    </row>
    <row r="8" spans="2:8" x14ac:dyDescent="0.3">
      <c r="B8" s="29">
        <v>5</v>
      </c>
      <c r="C8" s="35" t="s">
        <v>166</v>
      </c>
      <c r="D8" s="35" t="s">
        <v>167</v>
      </c>
      <c r="E8" s="31">
        <v>30</v>
      </c>
      <c r="F8" s="32">
        <v>5800</v>
      </c>
      <c r="G8" s="32">
        <f t="shared" si="0"/>
        <v>174000</v>
      </c>
      <c r="H8" s="33" t="s">
        <v>52</v>
      </c>
    </row>
    <row r="9" spans="2:8" x14ac:dyDescent="0.3">
      <c r="B9" s="29">
        <v>6</v>
      </c>
      <c r="C9" s="30" t="s">
        <v>53</v>
      </c>
      <c r="D9" s="30" t="s">
        <v>54</v>
      </c>
      <c r="E9" s="31">
        <v>100</v>
      </c>
      <c r="F9" s="32">
        <v>1650</v>
      </c>
      <c r="G9" s="32">
        <f t="shared" si="0"/>
        <v>165000</v>
      </c>
      <c r="H9" s="33" t="s">
        <v>55</v>
      </c>
    </row>
    <row r="10" spans="2:8" x14ac:dyDescent="0.3">
      <c r="B10" s="29">
        <v>7</v>
      </c>
      <c r="C10" s="30" t="s">
        <v>56</v>
      </c>
      <c r="D10" s="30" t="s">
        <v>168</v>
      </c>
      <c r="E10" s="31">
        <v>30</v>
      </c>
      <c r="F10" s="32">
        <v>21000</v>
      </c>
      <c r="G10" s="32">
        <f t="shared" si="0"/>
        <v>630000</v>
      </c>
      <c r="H10" s="33" t="s">
        <v>169</v>
      </c>
    </row>
    <row r="11" spans="2:8" x14ac:dyDescent="0.3">
      <c r="B11" s="29">
        <v>8</v>
      </c>
      <c r="C11" s="30" t="s">
        <v>170</v>
      </c>
      <c r="D11" s="30" t="s">
        <v>171</v>
      </c>
      <c r="E11" s="31">
        <v>10</v>
      </c>
      <c r="F11" s="32">
        <v>11000</v>
      </c>
      <c r="G11" s="32">
        <f t="shared" si="0"/>
        <v>110000</v>
      </c>
      <c r="H11" s="33"/>
    </row>
    <row r="12" spans="2:8" x14ac:dyDescent="0.3">
      <c r="B12" s="29">
        <v>9</v>
      </c>
      <c r="C12" s="30" t="s">
        <v>172</v>
      </c>
      <c r="D12" s="30" t="s">
        <v>173</v>
      </c>
      <c r="E12" s="31">
        <v>100</v>
      </c>
      <c r="F12" s="32">
        <v>14000</v>
      </c>
      <c r="G12" s="32">
        <f t="shared" si="0"/>
        <v>1400000</v>
      </c>
      <c r="H12" s="33"/>
    </row>
    <row r="13" spans="2:8" x14ac:dyDescent="0.3">
      <c r="B13" s="29">
        <v>10</v>
      </c>
      <c r="C13" s="30" t="s">
        <v>174</v>
      </c>
      <c r="D13" s="38">
        <v>6.166666666666667</v>
      </c>
      <c r="E13" s="31">
        <v>30</v>
      </c>
      <c r="F13" s="32">
        <v>6450</v>
      </c>
      <c r="G13" s="32">
        <f t="shared" si="0"/>
        <v>193500</v>
      </c>
      <c r="H13" s="39"/>
    </row>
    <row r="14" spans="2:8" x14ac:dyDescent="0.3">
      <c r="B14" s="29">
        <v>11</v>
      </c>
      <c r="C14" s="30" t="s">
        <v>175</v>
      </c>
      <c r="D14" s="40" t="s">
        <v>176</v>
      </c>
      <c r="E14" s="31">
        <v>30</v>
      </c>
      <c r="F14" s="32">
        <v>2400</v>
      </c>
      <c r="G14" s="32">
        <f t="shared" si="0"/>
        <v>72000</v>
      </c>
      <c r="H14" s="33"/>
    </row>
    <row r="15" spans="2:8" x14ac:dyDescent="0.3">
      <c r="B15" s="29">
        <v>12</v>
      </c>
      <c r="C15" s="30" t="s">
        <v>57</v>
      </c>
      <c r="D15" s="38">
        <v>4.1111111111111107</v>
      </c>
      <c r="E15" s="31">
        <v>10</v>
      </c>
      <c r="F15" s="32">
        <v>4350</v>
      </c>
      <c r="G15" s="32">
        <f t="shared" si="0"/>
        <v>43500</v>
      </c>
      <c r="H15" s="33"/>
    </row>
    <row r="16" spans="2:8" x14ac:dyDescent="0.3">
      <c r="B16" s="29">
        <v>13</v>
      </c>
      <c r="C16" s="35" t="s">
        <v>58</v>
      </c>
      <c r="D16" s="35" t="s">
        <v>177</v>
      </c>
      <c r="E16" s="31">
        <v>14</v>
      </c>
      <c r="F16" s="32">
        <v>2200</v>
      </c>
      <c r="G16" s="32">
        <f t="shared" si="0"/>
        <v>30800</v>
      </c>
      <c r="H16" s="33"/>
    </row>
    <row r="17" spans="2:8" x14ac:dyDescent="0.3">
      <c r="B17" s="29">
        <v>14</v>
      </c>
      <c r="C17" s="30" t="s">
        <v>59</v>
      </c>
      <c r="D17" s="30" t="s">
        <v>178</v>
      </c>
      <c r="E17" s="31">
        <v>4</v>
      </c>
      <c r="F17" s="32">
        <v>1650</v>
      </c>
      <c r="G17" s="32">
        <f t="shared" si="0"/>
        <v>6600</v>
      </c>
      <c r="H17" s="33"/>
    </row>
    <row r="18" spans="2:8" x14ac:dyDescent="0.3">
      <c r="B18" s="29">
        <v>15</v>
      </c>
      <c r="C18" s="35" t="s">
        <v>179</v>
      </c>
      <c r="D18" s="35" t="s">
        <v>180</v>
      </c>
      <c r="E18" s="31">
        <v>4</v>
      </c>
      <c r="F18" s="32">
        <v>1350</v>
      </c>
      <c r="G18" s="32">
        <f t="shared" si="0"/>
        <v>5400</v>
      </c>
      <c r="H18" s="33"/>
    </row>
    <row r="19" spans="2:8" x14ac:dyDescent="0.3">
      <c r="B19" s="29">
        <v>16</v>
      </c>
      <c r="C19" s="30" t="s">
        <v>60</v>
      </c>
      <c r="D19" s="30" t="s">
        <v>61</v>
      </c>
      <c r="E19" s="31">
        <v>40</v>
      </c>
      <c r="F19" s="32">
        <v>1200</v>
      </c>
      <c r="G19" s="32">
        <f t="shared" si="0"/>
        <v>48000</v>
      </c>
      <c r="H19" s="33"/>
    </row>
    <row r="20" spans="2:8" x14ac:dyDescent="0.3">
      <c r="B20" s="29">
        <v>17</v>
      </c>
      <c r="C20" s="30" t="s">
        <v>181</v>
      </c>
      <c r="D20" s="41" t="s">
        <v>182</v>
      </c>
      <c r="E20" s="31">
        <v>35</v>
      </c>
      <c r="F20" s="32">
        <v>9500</v>
      </c>
      <c r="G20" s="32">
        <f t="shared" si="0"/>
        <v>332500</v>
      </c>
      <c r="H20" s="34"/>
    </row>
    <row r="21" spans="2:8" x14ac:dyDescent="0.3">
      <c r="B21" s="29">
        <v>18</v>
      </c>
      <c r="C21" s="30" t="s">
        <v>62</v>
      </c>
      <c r="D21" s="30" t="s">
        <v>183</v>
      </c>
      <c r="E21" s="31">
        <v>30</v>
      </c>
      <c r="F21" s="32">
        <v>1650</v>
      </c>
      <c r="G21" s="32">
        <f t="shared" si="0"/>
        <v>49500</v>
      </c>
      <c r="H21" s="33"/>
    </row>
    <row r="22" spans="2:8" x14ac:dyDescent="0.3">
      <c r="B22" s="29">
        <v>19</v>
      </c>
      <c r="C22" s="30" t="s">
        <v>63</v>
      </c>
      <c r="D22" s="38">
        <v>6.333333333333333</v>
      </c>
      <c r="E22" s="31">
        <v>20</v>
      </c>
      <c r="F22" s="32">
        <v>15500</v>
      </c>
      <c r="G22" s="32">
        <f t="shared" si="0"/>
        <v>310000</v>
      </c>
      <c r="H22" s="34"/>
    </row>
    <row r="23" spans="2:8" x14ac:dyDescent="0.3">
      <c r="B23" s="29">
        <v>20</v>
      </c>
      <c r="C23" s="30" t="s">
        <v>184</v>
      </c>
      <c r="D23" s="38">
        <v>6.5</v>
      </c>
      <c r="E23" s="31">
        <v>10</v>
      </c>
      <c r="F23" s="32">
        <v>18500</v>
      </c>
      <c r="G23" s="32">
        <f t="shared" si="0"/>
        <v>185000</v>
      </c>
      <c r="H23" s="34"/>
    </row>
    <row r="24" spans="2:8" x14ac:dyDescent="0.3">
      <c r="B24" s="29">
        <v>21</v>
      </c>
      <c r="C24" s="30" t="s">
        <v>185</v>
      </c>
      <c r="D24" s="38">
        <v>6.166666666666667</v>
      </c>
      <c r="E24" s="31">
        <v>20</v>
      </c>
      <c r="F24" s="32">
        <v>8200</v>
      </c>
      <c r="G24" s="32">
        <f t="shared" si="0"/>
        <v>164000</v>
      </c>
      <c r="H24" s="33"/>
    </row>
    <row r="25" spans="2:8" x14ac:dyDescent="0.3">
      <c r="B25" s="29">
        <v>22</v>
      </c>
      <c r="C25" s="30" t="s">
        <v>186</v>
      </c>
      <c r="D25" s="30" t="s">
        <v>187</v>
      </c>
      <c r="E25" s="31">
        <v>1</v>
      </c>
      <c r="F25" s="32">
        <v>1200</v>
      </c>
      <c r="G25" s="32">
        <f t="shared" si="0"/>
        <v>1200</v>
      </c>
      <c r="H25" s="34"/>
    </row>
    <row r="26" spans="2:8" x14ac:dyDescent="0.3">
      <c r="B26" s="29">
        <v>23</v>
      </c>
      <c r="C26" s="30" t="s">
        <v>188</v>
      </c>
      <c r="D26" s="30" t="s">
        <v>189</v>
      </c>
      <c r="E26" s="31">
        <v>2</v>
      </c>
      <c r="F26" s="32">
        <v>225000</v>
      </c>
      <c r="G26" s="32">
        <f t="shared" si="0"/>
        <v>450000</v>
      </c>
      <c r="H26" s="34"/>
    </row>
    <row r="27" spans="2:8" x14ac:dyDescent="0.3">
      <c r="B27" s="29">
        <v>24</v>
      </c>
      <c r="C27" s="30" t="s">
        <v>190</v>
      </c>
      <c r="D27" s="30" t="s">
        <v>191</v>
      </c>
      <c r="E27" s="31">
        <v>4</v>
      </c>
      <c r="F27" s="32">
        <v>12000</v>
      </c>
      <c r="G27" s="32">
        <f t="shared" si="0"/>
        <v>48000</v>
      </c>
      <c r="H27" s="39" t="s">
        <v>64</v>
      </c>
    </row>
    <row r="28" spans="2:8" x14ac:dyDescent="0.3">
      <c r="B28" s="29"/>
      <c r="C28" s="30" t="s">
        <v>192</v>
      </c>
      <c r="D28" s="30"/>
      <c r="E28" s="31"/>
      <c r="F28" s="32"/>
      <c r="G28" s="32"/>
      <c r="H28" s="33"/>
    </row>
    <row r="29" spans="2:8" ht="17.25" thickBot="1" x14ac:dyDescent="0.35">
      <c r="B29" s="42"/>
      <c r="C29" s="43"/>
      <c r="D29" s="44"/>
      <c r="E29" s="45"/>
      <c r="F29" s="46" t="s">
        <v>193</v>
      </c>
      <c r="G29" s="47">
        <f>SUM(G4:G27)</f>
        <v>5485500</v>
      </c>
      <c r="H29" s="48"/>
    </row>
    <row r="30" spans="2:8" ht="35.25" x14ac:dyDescent="0.3">
      <c r="B30" s="24"/>
      <c r="C30" s="24"/>
      <c r="D30" s="133" t="s">
        <v>194</v>
      </c>
      <c r="E30" s="133"/>
      <c r="F30" s="133"/>
      <c r="G30" s="160"/>
      <c r="H30" s="160"/>
    </row>
    <row r="31" spans="2:8" ht="36" thickBot="1" x14ac:dyDescent="0.35">
      <c r="B31" s="24"/>
      <c r="C31" s="24"/>
      <c r="D31" s="134"/>
      <c r="E31" s="134"/>
      <c r="F31" s="134"/>
      <c r="G31" s="160"/>
      <c r="H31" s="160"/>
    </row>
    <row r="32" spans="2:8" x14ac:dyDescent="0.3">
      <c r="B32" s="25" t="s">
        <v>8</v>
      </c>
      <c r="C32" s="26" t="s">
        <v>9</v>
      </c>
      <c r="D32" s="26" t="s">
        <v>161</v>
      </c>
      <c r="E32" s="27" t="s">
        <v>195</v>
      </c>
      <c r="F32" s="26" t="s">
        <v>162</v>
      </c>
      <c r="G32" s="26" t="s">
        <v>12</v>
      </c>
      <c r="H32" s="28" t="s">
        <v>13</v>
      </c>
    </row>
    <row r="33" spans="2:8" x14ac:dyDescent="0.3">
      <c r="B33" s="29">
        <v>25</v>
      </c>
      <c r="C33" s="30" t="s">
        <v>69</v>
      </c>
      <c r="D33" s="30" t="s">
        <v>196</v>
      </c>
      <c r="E33" s="31">
        <v>6</v>
      </c>
      <c r="F33" s="32">
        <v>3800</v>
      </c>
      <c r="G33" s="32">
        <f t="shared" ref="G33:G66" si="1">+F33*E33</f>
        <v>22800</v>
      </c>
      <c r="H33" s="39"/>
    </row>
    <row r="34" spans="2:8" x14ac:dyDescent="0.3">
      <c r="B34" s="29">
        <v>26</v>
      </c>
      <c r="C34" s="35"/>
      <c r="D34" s="35"/>
      <c r="E34" s="31"/>
      <c r="F34" s="32"/>
      <c r="G34" s="32"/>
      <c r="H34" s="33"/>
    </row>
    <row r="35" spans="2:8" x14ac:dyDescent="0.3">
      <c r="B35" s="29">
        <v>27</v>
      </c>
      <c r="C35" s="30" t="s">
        <v>197</v>
      </c>
      <c r="D35" s="30" t="s">
        <v>198</v>
      </c>
      <c r="E35" s="31">
        <v>1</v>
      </c>
      <c r="F35" s="32">
        <v>4500</v>
      </c>
      <c r="G35" s="32">
        <f t="shared" si="1"/>
        <v>4500</v>
      </c>
      <c r="H35" s="33"/>
    </row>
    <row r="36" spans="2:8" x14ac:dyDescent="0.3">
      <c r="B36" s="29">
        <v>28</v>
      </c>
      <c r="C36" s="30" t="s">
        <v>199</v>
      </c>
      <c r="D36" s="30" t="s">
        <v>200</v>
      </c>
      <c r="E36" s="31">
        <v>30</v>
      </c>
      <c r="F36" s="32">
        <v>9800</v>
      </c>
      <c r="G36" s="32">
        <f t="shared" si="1"/>
        <v>294000</v>
      </c>
      <c r="H36" s="34"/>
    </row>
    <row r="37" spans="2:8" x14ac:dyDescent="0.3">
      <c r="B37" s="29">
        <v>29</v>
      </c>
      <c r="C37" s="30" t="s">
        <v>70</v>
      </c>
      <c r="D37" s="30" t="s">
        <v>71</v>
      </c>
      <c r="E37" s="31">
        <v>50</v>
      </c>
      <c r="F37" s="32">
        <v>3300</v>
      </c>
      <c r="G37" s="32">
        <f t="shared" si="1"/>
        <v>165000</v>
      </c>
      <c r="H37" s="33"/>
    </row>
    <row r="38" spans="2:8" x14ac:dyDescent="0.3">
      <c r="B38" s="29">
        <v>30</v>
      </c>
      <c r="C38" s="30"/>
      <c r="D38" s="30"/>
      <c r="E38" s="31"/>
      <c r="F38" s="32"/>
      <c r="G38" s="32"/>
      <c r="H38" s="33"/>
    </row>
    <row r="39" spans="2:8" x14ac:dyDescent="0.3">
      <c r="B39" s="29">
        <v>31</v>
      </c>
      <c r="C39" s="30" t="s">
        <v>201</v>
      </c>
      <c r="D39" s="30" t="s">
        <v>72</v>
      </c>
      <c r="E39" s="31">
        <v>10</v>
      </c>
      <c r="F39" s="32">
        <v>8000</v>
      </c>
      <c r="G39" s="32">
        <f t="shared" si="1"/>
        <v>80000</v>
      </c>
      <c r="H39" s="34"/>
    </row>
    <row r="40" spans="2:8" x14ac:dyDescent="0.3">
      <c r="B40" s="29">
        <v>32</v>
      </c>
      <c r="C40" s="30" t="s">
        <v>73</v>
      </c>
      <c r="D40" s="30" t="s">
        <v>202</v>
      </c>
      <c r="E40" s="31">
        <v>5</v>
      </c>
      <c r="F40" s="32">
        <v>19000</v>
      </c>
      <c r="G40" s="32">
        <f t="shared" si="1"/>
        <v>95000</v>
      </c>
      <c r="H40" s="33"/>
    </row>
    <row r="41" spans="2:8" x14ac:dyDescent="0.3">
      <c r="B41" s="29">
        <v>33</v>
      </c>
      <c r="C41" s="30" t="s">
        <v>73</v>
      </c>
      <c r="D41" s="30" t="s">
        <v>203</v>
      </c>
      <c r="E41" s="31">
        <v>5</v>
      </c>
      <c r="F41" s="32">
        <v>15500</v>
      </c>
      <c r="G41" s="32">
        <f t="shared" si="1"/>
        <v>77500</v>
      </c>
      <c r="H41" s="33"/>
    </row>
    <row r="42" spans="2:8" x14ac:dyDescent="0.3">
      <c r="B42" s="29">
        <v>34</v>
      </c>
      <c r="C42" s="30" t="s">
        <v>74</v>
      </c>
      <c r="D42" s="30" t="s">
        <v>75</v>
      </c>
      <c r="E42" s="31">
        <v>2</v>
      </c>
      <c r="F42" s="32">
        <v>7500</v>
      </c>
      <c r="G42" s="32">
        <f t="shared" si="1"/>
        <v>15000</v>
      </c>
      <c r="H42" s="33"/>
    </row>
    <row r="43" spans="2:8" x14ac:dyDescent="0.3">
      <c r="B43" s="29">
        <v>35</v>
      </c>
      <c r="C43" s="30" t="s">
        <v>204</v>
      </c>
      <c r="D43" s="30"/>
      <c r="E43" s="31">
        <v>12</v>
      </c>
      <c r="F43" s="32">
        <v>9000</v>
      </c>
      <c r="G43" s="32">
        <f t="shared" si="1"/>
        <v>108000</v>
      </c>
      <c r="H43" s="34"/>
    </row>
    <row r="44" spans="2:8" x14ac:dyDescent="0.3">
      <c r="B44" s="29">
        <v>36</v>
      </c>
      <c r="C44" s="30" t="s">
        <v>205</v>
      </c>
      <c r="D44" s="30" t="s">
        <v>206</v>
      </c>
      <c r="E44" s="31">
        <v>2</v>
      </c>
      <c r="F44" s="32">
        <v>29000</v>
      </c>
      <c r="G44" s="32">
        <f t="shared" si="1"/>
        <v>58000</v>
      </c>
      <c r="H44" s="34"/>
    </row>
    <row r="45" spans="2:8" x14ac:dyDescent="0.3">
      <c r="B45" s="29">
        <v>37</v>
      </c>
      <c r="C45" s="30" t="s">
        <v>76</v>
      </c>
      <c r="D45" s="30" t="s">
        <v>77</v>
      </c>
      <c r="E45" s="31">
        <v>2</v>
      </c>
      <c r="F45" s="32">
        <v>42000</v>
      </c>
      <c r="G45" s="32">
        <f t="shared" si="1"/>
        <v>84000</v>
      </c>
      <c r="H45" s="34"/>
    </row>
    <row r="46" spans="2:8" x14ac:dyDescent="0.3">
      <c r="B46" s="29">
        <v>38</v>
      </c>
      <c r="C46" s="30" t="s">
        <v>78</v>
      </c>
      <c r="D46" s="30" t="s">
        <v>207</v>
      </c>
      <c r="E46" s="31">
        <v>3</v>
      </c>
      <c r="F46" s="32">
        <v>9000</v>
      </c>
      <c r="G46" s="32">
        <f t="shared" si="1"/>
        <v>27000</v>
      </c>
      <c r="H46" s="34"/>
    </row>
    <row r="47" spans="2:8" x14ac:dyDescent="0.3">
      <c r="B47" s="29">
        <v>39</v>
      </c>
      <c r="C47" s="30" t="s">
        <v>79</v>
      </c>
      <c r="D47" s="30" t="s">
        <v>208</v>
      </c>
      <c r="E47" s="31">
        <v>2</v>
      </c>
      <c r="F47" s="32">
        <v>18000</v>
      </c>
      <c r="G47" s="32">
        <f t="shared" si="1"/>
        <v>36000</v>
      </c>
      <c r="H47" s="34"/>
    </row>
    <row r="48" spans="2:8" x14ac:dyDescent="0.3">
      <c r="B48" s="29">
        <v>40</v>
      </c>
      <c r="C48" s="30" t="s">
        <v>79</v>
      </c>
      <c r="D48" s="30" t="s">
        <v>209</v>
      </c>
      <c r="E48" s="31">
        <v>2</v>
      </c>
      <c r="F48" s="32">
        <v>18000</v>
      </c>
      <c r="G48" s="32">
        <f t="shared" si="1"/>
        <v>36000</v>
      </c>
      <c r="H48" s="34"/>
    </row>
    <row r="49" spans="2:8" x14ac:dyDescent="0.3">
      <c r="B49" s="29">
        <v>41</v>
      </c>
      <c r="C49" s="30" t="s">
        <v>79</v>
      </c>
      <c r="D49" s="30" t="s">
        <v>210</v>
      </c>
      <c r="E49" s="31">
        <v>2</v>
      </c>
      <c r="F49" s="32">
        <v>18000</v>
      </c>
      <c r="G49" s="32">
        <f t="shared" si="1"/>
        <v>36000</v>
      </c>
      <c r="H49" s="33"/>
    </row>
    <row r="50" spans="2:8" x14ac:dyDescent="0.3">
      <c r="B50" s="29">
        <v>42</v>
      </c>
      <c r="C50" s="35" t="s">
        <v>80</v>
      </c>
      <c r="D50" s="35" t="s">
        <v>211</v>
      </c>
      <c r="E50" s="31">
        <v>2</v>
      </c>
      <c r="F50" s="32">
        <v>47000</v>
      </c>
      <c r="G50" s="32">
        <f t="shared" si="1"/>
        <v>94000</v>
      </c>
      <c r="H50" s="33"/>
    </row>
    <row r="51" spans="2:8" x14ac:dyDescent="0.3">
      <c r="B51" s="29">
        <v>43</v>
      </c>
      <c r="C51" s="30" t="s">
        <v>81</v>
      </c>
      <c r="D51" s="30" t="s">
        <v>82</v>
      </c>
      <c r="E51" s="31">
        <v>2</v>
      </c>
      <c r="F51" s="32">
        <v>2500</v>
      </c>
      <c r="G51" s="32">
        <f t="shared" si="1"/>
        <v>5000</v>
      </c>
      <c r="H51" s="33"/>
    </row>
    <row r="52" spans="2:8" x14ac:dyDescent="0.3">
      <c r="B52" s="29">
        <v>44</v>
      </c>
      <c r="C52" s="30" t="s">
        <v>83</v>
      </c>
      <c r="D52" s="30" t="s">
        <v>212</v>
      </c>
      <c r="E52" s="31">
        <v>2</v>
      </c>
      <c r="F52" s="32">
        <v>3500</v>
      </c>
      <c r="G52" s="32">
        <f t="shared" si="1"/>
        <v>7000</v>
      </c>
      <c r="H52" s="33"/>
    </row>
    <row r="53" spans="2:8" x14ac:dyDescent="0.3">
      <c r="B53" s="29">
        <v>45</v>
      </c>
      <c r="C53" s="30" t="s">
        <v>213</v>
      </c>
      <c r="D53" s="30" t="s">
        <v>214</v>
      </c>
      <c r="E53" s="31">
        <v>10</v>
      </c>
      <c r="F53" s="32">
        <v>3350</v>
      </c>
      <c r="G53" s="32">
        <f t="shared" si="1"/>
        <v>33500</v>
      </c>
      <c r="H53" s="34"/>
    </row>
    <row r="54" spans="2:8" x14ac:dyDescent="0.3">
      <c r="B54" s="29">
        <v>46</v>
      </c>
      <c r="C54" s="30" t="s">
        <v>213</v>
      </c>
      <c r="D54" s="30" t="s">
        <v>215</v>
      </c>
      <c r="E54" s="31">
        <v>10</v>
      </c>
      <c r="F54" s="32">
        <v>2550</v>
      </c>
      <c r="G54" s="32">
        <f t="shared" si="1"/>
        <v>25500</v>
      </c>
      <c r="H54" s="34"/>
    </row>
    <row r="55" spans="2:8" x14ac:dyDescent="0.3">
      <c r="B55" s="29">
        <v>47</v>
      </c>
      <c r="C55" s="30" t="s">
        <v>84</v>
      </c>
      <c r="D55" s="30" t="s">
        <v>216</v>
      </c>
      <c r="E55" s="31">
        <v>3</v>
      </c>
      <c r="F55" s="32">
        <v>3200</v>
      </c>
      <c r="G55" s="32">
        <f t="shared" si="1"/>
        <v>9600</v>
      </c>
      <c r="H55" s="33"/>
    </row>
    <row r="56" spans="2:8" x14ac:dyDescent="0.3">
      <c r="B56" s="29">
        <v>48</v>
      </c>
      <c r="C56" s="30" t="s">
        <v>84</v>
      </c>
      <c r="D56" s="30" t="s">
        <v>217</v>
      </c>
      <c r="E56" s="31">
        <v>3</v>
      </c>
      <c r="F56" s="32">
        <v>3000</v>
      </c>
      <c r="G56" s="32">
        <f t="shared" si="1"/>
        <v>9000</v>
      </c>
      <c r="H56" s="34"/>
    </row>
    <row r="57" spans="2:8" x14ac:dyDescent="0.3">
      <c r="B57" s="29">
        <v>49</v>
      </c>
      <c r="C57" s="30" t="s">
        <v>84</v>
      </c>
      <c r="D57" s="30" t="s">
        <v>218</v>
      </c>
      <c r="E57" s="31">
        <v>3</v>
      </c>
      <c r="F57" s="32">
        <v>2350</v>
      </c>
      <c r="G57" s="32">
        <f t="shared" si="1"/>
        <v>7050</v>
      </c>
      <c r="H57" s="33"/>
    </row>
    <row r="58" spans="2:8" x14ac:dyDescent="0.3">
      <c r="B58" s="29">
        <v>50</v>
      </c>
      <c r="C58" s="30" t="s">
        <v>84</v>
      </c>
      <c r="D58" s="30" t="s">
        <v>219</v>
      </c>
      <c r="E58" s="31">
        <v>6</v>
      </c>
      <c r="F58" s="32">
        <v>1150</v>
      </c>
      <c r="G58" s="32">
        <f t="shared" si="1"/>
        <v>6900</v>
      </c>
      <c r="H58" s="34"/>
    </row>
    <row r="59" spans="2:8" x14ac:dyDescent="0.3">
      <c r="B59" s="29">
        <v>51</v>
      </c>
      <c r="C59" s="30" t="s">
        <v>85</v>
      </c>
      <c r="D59" s="30" t="s">
        <v>86</v>
      </c>
      <c r="E59" s="31">
        <v>2</v>
      </c>
      <c r="F59" s="32">
        <v>950</v>
      </c>
      <c r="G59" s="32">
        <f t="shared" si="1"/>
        <v>1900</v>
      </c>
      <c r="H59" s="39"/>
    </row>
    <row r="60" spans="2:8" x14ac:dyDescent="0.3">
      <c r="B60" s="29">
        <v>52</v>
      </c>
      <c r="C60" s="30" t="s">
        <v>87</v>
      </c>
      <c r="D60" s="30" t="s">
        <v>88</v>
      </c>
      <c r="E60" s="31">
        <v>2</v>
      </c>
      <c r="F60" s="32">
        <v>650</v>
      </c>
      <c r="G60" s="32">
        <f t="shared" si="1"/>
        <v>1300</v>
      </c>
      <c r="H60" s="33"/>
    </row>
    <row r="61" spans="2:8" x14ac:dyDescent="0.3">
      <c r="B61" s="29">
        <v>53</v>
      </c>
      <c r="C61" s="30" t="s">
        <v>91</v>
      </c>
      <c r="D61" s="30" t="s">
        <v>90</v>
      </c>
      <c r="E61" s="31">
        <v>15</v>
      </c>
      <c r="F61" s="32">
        <v>2300</v>
      </c>
      <c r="G61" s="32">
        <f t="shared" si="1"/>
        <v>34500</v>
      </c>
      <c r="H61" s="33"/>
    </row>
    <row r="62" spans="2:8" x14ac:dyDescent="0.3">
      <c r="B62" s="29">
        <v>54</v>
      </c>
      <c r="C62" s="30" t="s">
        <v>89</v>
      </c>
      <c r="D62" s="30" t="s">
        <v>220</v>
      </c>
      <c r="E62" s="31">
        <v>15</v>
      </c>
      <c r="F62" s="32">
        <v>2800</v>
      </c>
      <c r="G62" s="32">
        <f t="shared" si="1"/>
        <v>42000</v>
      </c>
      <c r="H62" s="33"/>
    </row>
    <row r="63" spans="2:8" x14ac:dyDescent="0.3">
      <c r="B63" s="29">
        <v>55</v>
      </c>
      <c r="C63" s="30" t="s">
        <v>89</v>
      </c>
      <c r="D63" s="30" t="s">
        <v>221</v>
      </c>
      <c r="E63" s="31">
        <v>15</v>
      </c>
      <c r="F63" s="32">
        <v>3900</v>
      </c>
      <c r="G63" s="32">
        <f t="shared" si="1"/>
        <v>58500</v>
      </c>
      <c r="H63" s="33"/>
    </row>
    <row r="64" spans="2:8" x14ac:dyDescent="0.3">
      <c r="B64" s="29">
        <v>56</v>
      </c>
      <c r="C64" s="30" t="s">
        <v>222</v>
      </c>
      <c r="D64" s="30" t="s">
        <v>92</v>
      </c>
      <c r="E64" s="31">
        <v>5</v>
      </c>
      <c r="F64" s="32">
        <v>5300</v>
      </c>
      <c r="G64" s="32">
        <f t="shared" si="1"/>
        <v>26500</v>
      </c>
      <c r="H64" s="33"/>
    </row>
    <row r="65" spans="2:8" x14ac:dyDescent="0.3">
      <c r="B65" s="29">
        <v>57</v>
      </c>
      <c r="C65" s="30" t="s">
        <v>223</v>
      </c>
      <c r="D65" s="30" t="s">
        <v>224</v>
      </c>
      <c r="E65" s="31">
        <v>5</v>
      </c>
      <c r="F65" s="32">
        <v>10500</v>
      </c>
      <c r="G65" s="32">
        <f t="shared" si="1"/>
        <v>52500</v>
      </c>
      <c r="H65" s="34"/>
    </row>
    <row r="66" spans="2:8" x14ac:dyDescent="0.3">
      <c r="B66" s="29">
        <v>58</v>
      </c>
      <c r="C66" s="30" t="s">
        <v>225</v>
      </c>
      <c r="D66" s="30" t="s">
        <v>226</v>
      </c>
      <c r="E66" s="31">
        <v>10</v>
      </c>
      <c r="F66" s="32">
        <v>1950</v>
      </c>
      <c r="G66" s="32">
        <f t="shared" si="1"/>
        <v>19500</v>
      </c>
      <c r="H66" s="34"/>
    </row>
    <row r="67" spans="2:8" x14ac:dyDescent="0.3">
      <c r="B67" s="29"/>
      <c r="C67" s="30" t="s">
        <v>65</v>
      </c>
      <c r="D67" s="30"/>
      <c r="E67" s="31"/>
      <c r="F67" s="32"/>
      <c r="G67" s="32"/>
      <c r="H67" s="34"/>
    </row>
    <row r="68" spans="2:8" ht="17.25" thickBot="1" x14ac:dyDescent="0.35">
      <c r="B68" s="42"/>
      <c r="C68" s="43"/>
      <c r="D68" s="44"/>
      <c r="E68" s="45"/>
      <c r="F68" s="46" t="s">
        <v>66</v>
      </c>
      <c r="G68" s="47">
        <f>SUM(G33:G66)</f>
        <v>1573050</v>
      </c>
      <c r="H68" s="48"/>
    </row>
    <row r="69" spans="2:8" ht="35.25" x14ac:dyDescent="0.3">
      <c r="B69" s="24"/>
      <c r="C69" s="24"/>
      <c r="D69" s="133" t="s">
        <v>67</v>
      </c>
      <c r="E69" s="133"/>
      <c r="F69" s="133"/>
      <c r="G69" s="160">
        <f>G1</f>
        <v>0</v>
      </c>
      <c r="H69" s="160"/>
    </row>
    <row r="70" spans="2:8" ht="36" thickBot="1" x14ac:dyDescent="0.35">
      <c r="B70" s="24"/>
      <c r="C70" s="24"/>
      <c r="D70" s="134"/>
      <c r="E70" s="134"/>
      <c r="F70" s="134"/>
      <c r="G70" s="160"/>
      <c r="H70" s="160"/>
    </row>
    <row r="71" spans="2:8" x14ac:dyDescent="0.3">
      <c r="B71" s="25" t="s">
        <v>0</v>
      </c>
      <c r="C71" s="26" t="s">
        <v>1</v>
      </c>
      <c r="D71" s="26" t="s">
        <v>2</v>
      </c>
      <c r="E71" s="27"/>
      <c r="F71" s="26" t="s">
        <v>162</v>
      </c>
      <c r="G71" s="26" t="s">
        <v>3</v>
      </c>
      <c r="H71" s="28" t="s">
        <v>13</v>
      </c>
    </row>
    <row r="72" spans="2:8" x14ac:dyDescent="0.3">
      <c r="B72" s="29">
        <v>59</v>
      </c>
      <c r="C72" s="30" t="s">
        <v>227</v>
      </c>
      <c r="D72" s="30" t="s">
        <v>93</v>
      </c>
      <c r="E72" s="31">
        <v>4</v>
      </c>
      <c r="F72" s="32">
        <v>2600</v>
      </c>
      <c r="G72" s="32">
        <f t="shared" ref="G72:G105" si="2">+F72*E72</f>
        <v>10400</v>
      </c>
      <c r="H72" s="34"/>
    </row>
    <row r="73" spans="2:8" x14ac:dyDescent="0.3">
      <c r="B73" s="29">
        <v>60</v>
      </c>
      <c r="C73" s="30" t="s">
        <v>94</v>
      </c>
      <c r="D73" s="30" t="s">
        <v>95</v>
      </c>
      <c r="E73" s="31">
        <v>3</v>
      </c>
      <c r="F73" s="32">
        <v>20000</v>
      </c>
      <c r="G73" s="32">
        <f t="shared" si="2"/>
        <v>60000</v>
      </c>
      <c r="H73" s="33"/>
    </row>
    <row r="74" spans="2:8" x14ac:dyDescent="0.3">
      <c r="B74" s="29">
        <v>61</v>
      </c>
      <c r="C74" s="30" t="s">
        <v>96</v>
      </c>
      <c r="D74" s="30"/>
      <c r="E74" s="31">
        <v>2</v>
      </c>
      <c r="F74" s="32">
        <v>15000</v>
      </c>
      <c r="G74" s="32">
        <f t="shared" si="2"/>
        <v>30000</v>
      </c>
      <c r="H74" s="33"/>
    </row>
    <row r="75" spans="2:8" x14ac:dyDescent="0.3">
      <c r="B75" s="29">
        <v>62</v>
      </c>
      <c r="C75" s="30" t="s">
        <v>97</v>
      </c>
      <c r="D75" s="30" t="s">
        <v>98</v>
      </c>
      <c r="E75" s="31">
        <v>6</v>
      </c>
      <c r="F75" s="32">
        <v>9000</v>
      </c>
      <c r="G75" s="32">
        <f t="shared" si="2"/>
        <v>54000</v>
      </c>
      <c r="H75" s="34"/>
    </row>
    <row r="76" spans="2:8" x14ac:dyDescent="0.3">
      <c r="B76" s="29">
        <v>63</v>
      </c>
      <c r="C76" s="30" t="s">
        <v>99</v>
      </c>
      <c r="D76" s="30" t="s">
        <v>100</v>
      </c>
      <c r="E76" s="31">
        <v>2</v>
      </c>
      <c r="F76" s="32">
        <v>19000</v>
      </c>
      <c r="G76" s="32">
        <f t="shared" si="2"/>
        <v>38000</v>
      </c>
      <c r="H76" s="34"/>
    </row>
    <row r="77" spans="2:8" x14ac:dyDescent="0.3">
      <c r="B77" s="29">
        <v>64</v>
      </c>
      <c r="C77" s="30" t="s">
        <v>99</v>
      </c>
      <c r="D77" s="30" t="s">
        <v>101</v>
      </c>
      <c r="E77" s="31">
        <v>2</v>
      </c>
      <c r="F77" s="32">
        <v>19000</v>
      </c>
      <c r="G77" s="32">
        <f t="shared" si="2"/>
        <v>38000</v>
      </c>
      <c r="H77" s="33"/>
    </row>
    <row r="78" spans="2:8" x14ac:dyDescent="0.3">
      <c r="B78" s="29">
        <v>65</v>
      </c>
      <c r="C78" s="30" t="s">
        <v>102</v>
      </c>
      <c r="D78" s="30" t="s">
        <v>103</v>
      </c>
      <c r="E78" s="31">
        <v>2</v>
      </c>
      <c r="F78" s="32">
        <v>1450</v>
      </c>
      <c r="G78" s="32">
        <f t="shared" si="2"/>
        <v>2900</v>
      </c>
      <c r="H78" s="33"/>
    </row>
    <row r="79" spans="2:8" x14ac:dyDescent="0.3">
      <c r="B79" s="29">
        <v>66</v>
      </c>
      <c r="C79" s="30" t="s">
        <v>104</v>
      </c>
      <c r="D79" s="30" t="s">
        <v>228</v>
      </c>
      <c r="E79" s="31">
        <v>2</v>
      </c>
      <c r="F79" s="32">
        <v>9000</v>
      </c>
      <c r="G79" s="32">
        <f t="shared" si="2"/>
        <v>18000</v>
      </c>
      <c r="H79" s="34"/>
    </row>
    <row r="80" spans="2:8" x14ac:dyDescent="0.3">
      <c r="B80" s="29">
        <v>67</v>
      </c>
      <c r="C80" s="30" t="s">
        <v>229</v>
      </c>
      <c r="D80" s="30"/>
      <c r="E80" s="31">
        <v>6</v>
      </c>
      <c r="F80" s="32">
        <v>900</v>
      </c>
      <c r="G80" s="32">
        <f t="shared" si="2"/>
        <v>5400</v>
      </c>
      <c r="H80" s="34"/>
    </row>
    <row r="81" spans="2:8" x14ac:dyDescent="0.3">
      <c r="B81" s="29">
        <v>68</v>
      </c>
      <c r="C81" s="30" t="s">
        <v>105</v>
      </c>
      <c r="D81" s="30" t="s">
        <v>106</v>
      </c>
      <c r="E81" s="31">
        <v>2</v>
      </c>
      <c r="F81" s="32">
        <v>2000</v>
      </c>
      <c r="G81" s="32">
        <f t="shared" si="2"/>
        <v>4000</v>
      </c>
      <c r="H81" s="39"/>
    </row>
    <row r="82" spans="2:8" x14ac:dyDescent="0.3">
      <c r="B82" s="29">
        <v>69</v>
      </c>
      <c r="C82" s="30" t="s">
        <v>107</v>
      </c>
      <c r="D82" s="30" t="s">
        <v>230</v>
      </c>
      <c r="E82" s="31">
        <v>2</v>
      </c>
      <c r="F82" s="32">
        <v>18000</v>
      </c>
      <c r="G82" s="32">
        <f t="shared" si="2"/>
        <v>36000</v>
      </c>
      <c r="H82" s="34"/>
    </row>
    <row r="83" spans="2:8" x14ac:dyDescent="0.3">
      <c r="B83" s="29">
        <v>70</v>
      </c>
      <c r="C83" s="35" t="s">
        <v>231</v>
      </c>
      <c r="D83" s="35" t="s">
        <v>108</v>
      </c>
      <c r="E83" s="31">
        <v>6</v>
      </c>
      <c r="F83" s="32">
        <v>2950</v>
      </c>
      <c r="G83" s="32">
        <f t="shared" si="2"/>
        <v>17700</v>
      </c>
      <c r="H83" s="34"/>
    </row>
    <row r="84" spans="2:8" x14ac:dyDescent="0.3">
      <c r="B84" s="29">
        <v>71</v>
      </c>
      <c r="C84" s="30" t="s">
        <v>109</v>
      </c>
      <c r="D84" s="30"/>
      <c r="E84" s="31">
        <v>2</v>
      </c>
      <c r="F84" s="32">
        <v>4000</v>
      </c>
      <c r="G84" s="32">
        <f t="shared" si="2"/>
        <v>8000</v>
      </c>
      <c r="H84" s="33"/>
    </row>
    <row r="85" spans="2:8" x14ac:dyDescent="0.3">
      <c r="B85" s="29">
        <v>72</v>
      </c>
      <c r="C85" s="30" t="s">
        <v>110</v>
      </c>
      <c r="D85" s="30" t="s">
        <v>111</v>
      </c>
      <c r="E85" s="31">
        <v>5</v>
      </c>
      <c r="F85" s="32">
        <v>3200</v>
      </c>
      <c r="G85" s="32">
        <f t="shared" si="2"/>
        <v>16000</v>
      </c>
      <c r="H85" s="33"/>
    </row>
    <row r="86" spans="2:8" x14ac:dyDescent="0.3">
      <c r="B86" s="29">
        <v>73</v>
      </c>
      <c r="C86" s="30" t="s">
        <v>232</v>
      </c>
      <c r="D86" s="30" t="s">
        <v>233</v>
      </c>
      <c r="E86" s="31">
        <v>4</v>
      </c>
      <c r="F86" s="32">
        <v>6000</v>
      </c>
      <c r="G86" s="32">
        <f t="shared" si="2"/>
        <v>24000</v>
      </c>
      <c r="H86" s="34"/>
    </row>
    <row r="87" spans="2:8" x14ac:dyDescent="0.3">
      <c r="B87" s="29">
        <v>74</v>
      </c>
      <c r="C87" s="30" t="s">
        <v>234</v>
      </c>
      <c r="D87" s="30" t="s">
        <v>235</v>
      </c>
      <c r="E87" s="31">
        <v>2</v>
      </c>
      <c r="F87" s="32">
        <v>5000</v>
      </c>
      <c r="G87" s="32">
        <f t="shared" si="2"/>
        <v>10000</v>
      </c>
      <c r="H87" s="34"/>
    </row>
    <row r="88" spans="2:8" x14ac:dyDescent="0.3">
      <c r="B88" s="29">
        <v>75</v>
      </c>
      <c r="C88" s="30" t="s">
        <v>112</v>
      </c>
      <c r="D88" s="30" t="s">
        <v>236</v>
      </c>
      <c r="E88" s="31">
        <v>6</v>
      </c>
      <c r="F88" s="32">
        <v>12500</v>
      </c>
      <c r="G88" s="32">
        <f t="shared" si="2"/>
        <v>75000</v>
      </c>
      <c r="H88" s="34"/>
    </row>
    <row r="89" spans="2:8" x14ac:dyDescent="0.3">
      <c r="B89" s="29">
        <v>76</v>
      </c>
      <c r="C89" s="49" t="s">
        <v>113</v>
      </c>
      <c r="D89" s="30" t="s">
        <v>237</v>
      </c>
      <c r="E89" s="31">
        <v>3</v>
      </c>
      <c r="F89" s="32">
        <v>5300</v>
      </c>
      <c r="G89" s="32">
        <f t="shared" si="2"/>
        <v>15900</v>
      </c>
      <c r="H89" s="34"/>
    </row>
    <row r="90" spans="2:8" x14ac:dyDescent="0.3">
      <c r="B90" s="29">
        <v>77</v>
      </c>
      <c r="C90" s="35"/>
      <c r="D90" s="30"/>
      <c r="E90" s="31"/>
      <c r="F90" s="32"/>
      <c r="G90" s="32">
        <f t="shared" si="2"/>
        <v>0</v>
      </c>
      <c r="H90" s="33"/>
    </row>
    <row r="91" spans="2:8" x14ac:dyDescent="0.3">
      <c r="B91" s="29">
        <v>78</v>
      </c>
      <c r="C91" s="35" t="s">
        <v>114</v>
      </c>
      <c r="D91" s="30" t="s">
        <v>115</v>
      </c>
      <c r="E91" s="31">
        <v>1</v>
      </c>
      <c r="F91" s="32">
        <v>6800</v>
      </c>
      <c r="G91" s="32">
        <f t="shared" si="2"/>
        <v>6800</v>
      </c>
      <c r="H91" s="34"/>
    </row>
    <row r="92" spans="2:8" x14ac:dyDescent="0.3">
      <c r="B92" s="29">
        <v>79</v>
      </c>
      <c r="C92" s="35" t="s">
        <v>114</v>
      </c>
      <c r="D92" s="30" t="s">
        <v>116</v>
      </c>
      <c r="E92" s="31">
        <v>2</v>
      </c>
      <c r="F92" s="32">
        <v>7200</v>
      </c>
      <c r="G92" s="32">
        <f t="shared" si="2"/>
        <v>14400</v>
      </c>
      <c r="H92" s="33"/>
    </row>
    <row r="93" spans="2:8" x14ac:dyDescent="0.3">
      <c r="B93" s="29">
        <v>80</v>
      </c>
      <c r="C93" s="30" t="s">
        <v>117</v>
      </c>
      <c r="D93" s="30"/>
      <c r="E93" s="31">
        <v>2</v>
      </c>
      <c r="F93" s="32">
        <v>3000</v>
      </c>
      <c r="G93" s="32">
        <f t="shared" si="2"/>
        <v>6000</v>
      </c>
      <c r="H93" s="33"/>
    </row>
    <row r="94" spans="2:8" x14ac:dyDescent="0.3">
      <c r="B94" s="29">
        <v>81</v>
      </c>
      <c r="C94" s="30" t="s">
        <v>238</v>
      </c>
      <c r="D94" s="30"/>
      <c r="E94" s="31">
        <v>10</v>
      </c>
      <c r="F94" s="32">
        <v>500</v>
      </c>
      <c r="G94" s="32">
        <f t="shared" si="2"/>
        <v>5000</v>
      </c>
      <c r="H94" s="33"/>
    </row>
    <row r="95" spans="2:8" x14ac:dyDescent="0.3">
      <c r="B95" s="29">
        <v>82</v>
      </c>
      <c r="C95" s="30" t="s">
        <v>118</v>
      </c>
      <c r="D95" s="30" t="s">
        <v>239</v>
      </c>
      <c r="E95" s="31">
        <v>3</v>
      </c>
      <c r="F95" s="32">
        <v>4850</v>
      </c>
      <c r="G95" s="32">
        <f t="shared" si="2"/>
        <v>14550</v>
      </c>
      <c r="H95" s="39"/>
    </row>
    <row r="96" spans="2:8" x14ac:dyDescent="0.3">
      <c r="B96" s="29">
        <v>83</v>
      </c>
      <c r="C96" s="30" t="s">
        <v>118</v>
      </c>
      <c r="D96" s="30" t="s">
        <v>119</v>
      </c>
      <c r="E96" s="31">
        <v>3</v>
      </c>
      <c r="F96" s="32">
        <v>6500</v>
      </c>
      <c r="G96" s="32">
        <f t="shared" si="2"/>
        <v>19500</v>
      </c>
      <c r="H96" s="34"/>
    </row>
    <row r="97" spans="2:8" x14ac:dyDescent="0.3">
      <c r="B97" s="29">
        <v>84</v>
      </c>
      <c r="C97" s="50" t="s">
        <v>120</v>
      </c>
      <c r="D97" s="50" t="s">
        <v>240</v>
      </c>
      <c r="E97" s="31">
        <v>4</v>
      </c>
      <c r="F97" s="51">
        <v>6950</v>
      </c>
      <c r="G97" s="32">
        <f t="shared" si="2"/>
        <v>27800</v>
      </c>
      <c r="H97" s="33"/>
    </row>
    <row r="98" spans="2:8" x14ac:dyDescent="0.3">
      <c r="B98" s="29">
        <v>85</v>
      </c>
      <c r="C98" s="30" t="s">
        <v>121</v>
      </c>
      <c r="D98" s="30" t="s">
        <v>241</v>
      </c>
      <c r="E98" s="31">
        <v>2</v>
      </c>
      <c r="F98" s="32">
        <v>5800</v>
      </c>
      <c r="G98" s="32">
        <f t="shared" si="2"/>
        <v>11600</v>
      </c>
      <c r="H98" s="33"/>
    </row>
    <row r="99" spans="2:8" x14ac:dyDescent="0.3">
      <c r="B99" s="29">
        <v>86</v>
      </c>
      <c r="C99" s="30" t="s">
        <v>121</v>
      </c>
      <c r="D99" s="30" t="s">
        <v>122</v>
      </c>
      <c r="E99" s="31">
        <v>2</v>
      </c>
      <c r="F99" s="32">
        <v>4000</v>
      </c>
      <c r="G99" s="32">
        <f t="shared" si="2"/>
        <v>8000</v>
      </c>
      <c r="H99" s="33"/>
    </row>
    <row r="100" spans="2:8" x14ac:dyDescent="0.3">
      <c r="B100" s="29">
        <v>87</v>
      </c>
      <c r="C100" s="35" t="s">
        <v>123</v>
      </c>
      <c r="D100" s="35"/>
      <c r="E100" s="31">
        <v>30</v>
      </c>
      <c r="F100" s="32">
        <v>1800</v>
      </c>
      <c r="G100" s="32">
        <f t="shared" si="2"/>
        <v>54000</v>
      </c>
      <c r="H100" s="33"/>
    </row>
    <row r="101" spans="2:8" x14ac:dyDescent="0.3">
      <c r="B101" s="29">
        <v>88</v>
      </c>
      <c r="C101" s="35" t="s">
        <v>124</v>
      </c>
      <c r="D101" s="35"/>
      <c r="E101" s="31">
        <v>30</v>
      </c>
      <c r="F101" s="32">
        <v>2500</v>
      </c>
      <c r="G101" s="32">
        <f t="shared" si="2"/>
        <v>75000</v>
      </c>
      <c r="H101" s="33"/>
    </row>
    <row r="102" spans="2:8" x14ac:dyDescent="0.3">
      <c r="B102" s="29">
        <v>89</v>
      </c>
      <c r="C102" s="50" t="s">
        <v>125</v>
      </c>
      <c r="D102" s="50" t="s">
        <v>126</v>
      </c>
      <c r="E102" s="31">
        <v>4</v>
      </c>
      <c r="F102" s="51">
        <v>4000</v>
      </c>
      <c r="G102" s="32">
        <f t="shared" si="2"/>
        <v>16000</v>
      </c>
      <c r="H102" s="34"/>
    </row>
    <row r="103" spans="2:8" x14ac:dyDescent="0.3">
      <c r="B103" s="29">
        <v>90</v>
      </c>
      <c r="C103" s="35" t="s">
        <v>127</v>
      </c>
      <c r="D103" s="35"/>
      <c r="E103" s="31">
        <v>12</v>
      </c>
      <c r="F103" s="32">
        <v>25000</v>
      </c>
      <c r="G103" s="32">
        <f t="shared" si="2"/>
        <v>300000</v>
      </c>
      <c r="H103" s="34" t="s">
        <v>128</v>
      </c>
    </row>
    <row r="104" spans="2:8" x14ac:dyDescent="0.3">
      <c r="B104" s="29">
        <v>91</v>
      </c>
      <c r="C104" s="30" t="s">
        <v>129</v>
      </c>
      <c r="D104" s="30" t="s">
        <v>130</v>
      </c>
      <c r="E104" s="31">
        <v>2</v>
      </c>
      <c r="F104" s="32">
        <v>2000</v>
      </c>
      <c r="G104" s="32">
        <f t="shared" si="2"/>
        <v>4000</v>
      </c>
      <c r="H104" s="33"/>
    </row>
    <row r="105" spans="2:8" x14ac:dyDescent="0.3">
      <c r="B105" s="29">
        <v>92</v>
      </c>
      <c r="C105" s="35" t="s">
        <v>131</v>
      </c>
      <c r="D105" s="35" t="s">
        <v>132</v>
      </c>
      <c r="E105" s="31">
        <v>5</v>
      </c>
      <c r="F105" s="32">
        <v>1300</v>
      </c>
      <c r="G105" s="32">
        <f t="shared" si="2"/>
        <v>6500</v>
      </c>
      <c r="H105" s="33"/>
    </row>
    <row r="106" spans="2:8" x14ac:dyDescent="0.3">
      <c r="B106" s="29"/>
      <c r="C106" s="30" t="s">
        <v>133</v>
      </c>
      <c r="D106" s="30"/>
      <c r="E106" s="31"/>
      <c r="F106" s="32"/>
      <c r="G106" s="32"/>
      <c r="H106" s="34"/>
    </row>
    <row r="107" spans="2:8" ht="17.25" thickBot="1" x14ac:dyDescent="0.35">
      <c r="B107" s="42"/>
      <c r="C107" s="43"/>
      <c r="D107" s="44"/>
      <c r="E107" s="45"/>
      <c r="F107" s="46" t="s">
        <v>134</v>
      </c>
      <c r="G107" s="47">
        <f>SUM(G72:G105)</f>
        <v>1032450</v>
      </c>
      <c r="H107" s="48"/>
    </row>
    <row r="108" spans="2:8" ht="35.25" x14ac:dyDescent="0.3">
      <c r="B108" s="24"/>
      <c r="C108" s="24"/>
      <c r="D108" s="133" t="s">
        <v>67</v>
      </c>
      <c r="E108" s="133"/>
      <c r="F108" s="133"/>
      <c r="G108" s="160">
        <f>G1</f>
        <v>0</v>
      </c>
      <c r="H108" s="160"/>
    </row>
    <row r="109" spans="2:8" ht="36" thickBot="1" x14ac:dyDescent="0.35">
      <c r="B109" s="24"/>
      <c r="C109" s="24"/>
      <c r="D109" s="134"/>
      <c r="E109" s="134"/>
      <c r="F109" s="134"/>
      <c r="G109" s="160"/>
      <c r="H109" s="160"/>
    </row>
    <row r="110" spans="2:8" x14ac:dyDescent="0.3">
      <c r="B110" s="25" t="s">
        <v>0</v>
      </c>
      <c r="C110" s="26" t="s">
        <v>9</v>
      </c>
      <c r="D110" s="26" t="s">
        <v>2</v>
      </c>
      <c r="E110" s="27"/>
      <c r="F110" s="26" t="s">
        <v>68</v>
      </c>
      <c r="G110" s="26" t="s">
        <v>3</v>
      </c>
      <c r="H110" s="28" t="s">
        <v>4</v>
      </c>
    </row>
    <row r="111" spans="2:8" x14ac:dyDescent="0.3">
      <c r="B111" s="29">
        <v>93</v>
      </c>
      <c r="C111" s="35" t="s">
        <v>135</v>
      </c>
      <c r="D111" s="35" t="s">
        <v>136</v>
      </c>
      <c r="E111" s="31">
        <v>2</v>
      </c>
      <c r="F111" s="32">
        <v>1800</v>
      </c>
      <c r="G111" s="32">
        <f t="shared" ref="G111:G133" si="3">+F111*E111</f>
        <v>3600</v>
      </c>
      <c r="H111" s="39"/>
    </row>
    <row r="112" spans="2:8" x14ac:dyDescent="0.3">
      <c r="B112" s="29">
        <v>94</v>
      </c>
      <c r="C112" s="35"/>
      <c r="D112" s="35"/>
      <c r="E112" s="31"/>
      <c r="F112" s="32"/>
      <c r="G112" s="32">
        <f t="shared" si="3"/>
        <v>0</v>
      </c>
      <c r="H112" s="34"/>
    </row>
    <row r="113" spans="2:8" x14ac:dyDescent="0.3">
      <c r="B113" s="29">
        <v>95</v>
      </c>
      <c r="C113" s="30"/>
      <c r="D113" s="30"/>
      <c r="E113" s="31"/>
      <c r="F113" s="32"/>
      <c r="G113" s="32">
        <f t="shared" si="3"/>
        <v>0</v>
      </c>
      <c r="H113" s="33"/>
    </row>
    <row r="114" spans="2:8" x14ac:dyDescent="0.3">
      <c r="B114" s="29">
        <v>96</v>
      </c>
      <c r="C114" s="30" t="s">
        <v>137</v>
      </c>
      <c r="D114" s="30" t="s">
        <v>138</v>
      </c>
      <c r="E114" s="31">
        <v>25</v>
      </c>
      <c r="F114" s="32">
        <v>6000</v>
      </c>
      <c r="G114" s="32">
        <f t="shared" si="3"/>
        <v>150000</v>
      </c>
      <c r="H114" s="52"/>
    </row>
    <row r="115" spans="2:8" x14ac:dyDescent="0.3">
      <c r="B115" s="29">
        <v>97</v>
      </c>
      <c r="C115" s="35"/>
      <c r="D115" s="35"/>
      <c r="E115" s="31"/>
      <c r="F115" s="32"/>
      <c r="G115" s="32">
        <f t="shared" si="3"/>
        <v>0</v>
      </c>
      <c r="H115" s="33"/>
    </row>
    <row r="116" spans="2:8" x14ac:dyDescent="0.3">
      <c r="B116" s="29">
        <v>98</v>
      </c>
      <c r="C116" s="30" t="s">
        <v>250</v>
      </c>
      <c r="D116" s="30" t="s">
        <v>251</v>
      </c>
      <c r="E116" s="31">
        <v>40</v>
      </c>
      <c r="F116" s="32">
        <v>16000</v>
      </c>
      <c r="G116" s="32">
        <f t="shared" si="3"/>
        <v>640000</v>
      </c>
      <c r="H116" s="33"/>
    </row>
    <row r="117" spans="2:8" x14ac:dyDescent="0.3">
      <c r="B117" s="29">
        <v>99</v>
      </c>
      <c r="C117" s="30" t="s">
        <v>142</v>
      </c>
      <c r="D117" s="30" t="s">
        <v>143</v>
      </c>
      <c r="E117" s="31">
        <v>300</v>
      </c>
      <c r="F117" s="32">
        <v>2700</v>
      </c>
      <c r="G117" s="32">
        <f t="shared" si="3"/>
        <v>810000</v>
      </c>
      <c r="H117" s="33"/>
    </row>
    <row r="118" spans="2:8" x14ac:dyDescent="0.3">
      <c r="B118" s="29">
        <v>100</v>
      </c>
      <c r="C118" s="30" t="s">
        <v>144</v>
      </c>
      <c r="D118" s="30" t="s">
        <v>145</v>
      </c>
      <c r="E118" s="31">
        <v>5</v>
      </c>
      <c r="F118" s="32">
        <v>1000</v>
      </c>
      <c r="G118" s="32">
        <f t="shared" si="3"/>
        <v>5000</v>
      </c>
      <c r="H118" s="34"/>
    </row>
    <row r="119" spans="2:8" x14ac:dyDescent="0.3">
      <c r="B119" s="29">
        <v>101</v>
      </c>
      <c r="C119" s="35" t="s">
        <v>146</v>
      </c>
      <c r="D119" s="35" t="s">
        <v>147</v>
      </c>
      <c r="E119" s="31">
        <v>1</v>
      </c>
      <c r="F119" s="32">
        <v>18000</v>
      </c>
      <c r="G119" s="32">
        <f t="shared" si="3"/>
        <v>18000</v>
      </c>
      <c r="H119" s="33"/>
    </row>
    <row r="120" spans="2:8" x14ac:dyDescent="0.3">
      <c r="B120" s="29">
        <v>102</v>
      </c>
      <c r="C120" s="35" t="s">
        <v>148</v>
      </c>
      <c r="D120" s="35" t="s">
        <v>242</v>
      </c>
      <c r="E120" s="31">
        <v>2</v>
      </c>
      <c r="F120" s="32">
        <v>25000</v>
      </c>
      <c r="G120" s="32">
        <f t="shared" si="3"/>
        <v>50000</v>
      </c>
      <c r="H120" s="33"/>
    </row>
    <row r="121" spans="2:8" x14ac:dyDescent="0.3">
      <c r="B121" s="29">
        <v>103</v>
      </c>
      <c r="C121" s="30" t="s">
        <v>149</v>
      </c>
      <c r="D121" s="30" t="s">
        <v>150</v>
      </c>
      <c r="E121" s="31">
        <v>30</v>
      </c>
      <c r="F121" s="32">
        <v>2500</v>
      </c>
      <c r="G121" s="32">
        <f t="shared" si="3"/>
        <v>75000</v>
      </c>
      <c r="H121" s="33"/>
    </row>
    <row r="122" spans="2:8" x14ac:dyDescent="0.3">
      <c r="B122" s="29">
        <v>104</v>
      </c>
      <c r="C122" s="30" t="s">
        <v>151</v>
      </c>
      <c r="D122" s="30" t="s">
        <v>152</v>
      </c>
      <c r="E122" s="31">
        <v>2</v>
      </c>
      <c r="F122" s="32">
        <v>18000</v>
      </c>
      <c r="G122" s="32">
        <f t="shared" si="3"/>
        <v>36000</v>
      </c>
      <c r="H122" s="34"/>
    </row>
    <row r="123" spans="2:8" x14ac:dyDescent="0.3">
      <c r="B123" s="29">
        <v>105</v>
      </c>
      <c r="C123" s="30" t="s">
        <v>153</v>
      </c>
      <c r="D123" s="30" t="s">
        <v>154</v>
      </c>
      <c r="E123" s="31">
        <v>1</v>
      </c>
      <c r="F123" s="32">
        <v>115000</v>
      </c>
      <c r="G123" s="32">
        <f t="shared" si="3"/>
        <v>115000</v>
      </c>
      <c r="H123" s="33"/>
    </row>
    <row r="124" spans="2:8" x14ac:dyDescent="0.3">
      <c r="B124" s="29">
        <v>106</v>
      </c>
      <c r="C124" s="30" t="s">
        <v>243</v>
      </c>
      <c r="D124" s="30" t="s">
        <v>155</v>
      </c>
      <c r="E124" s="31">
        <v>100</v>
      </c>
      <c r="F124" s="32">
        <v>2650</v>
      </c>
      <c r="G124" s="32">
        <f t="shared" si="3"/>
        <v>265000</v>
      </c>
      <c r="H124" s="33"/>
    </row>
    <row r="125" spans="2:8" x14ac:dyDescent="0.3">
      <c r="B125" s="29">
        <v>107</v>
      </c>
      <c r="C125" s="30" t="s">
        <v>156</v>
      </c>
      <c r="D125" s="30" t="s">
        <v>157</v>
      </c>
      <c r="E125" s="31">
        <v>4</v>
      </c>
      <c r="F125" s="32">
        <v>25000</v>
      </c>
      <c r="G125" s="32">
        <f t="shared" si="3"/>
        <v>100000</v>
      </c>
      <c r="H125" s="33"/>
    </row>
    <row r="126" spans="2:8" x14ac:dyDescent="0.3">
      <c r="B126" s="29">
        <v>108</v>
      </c>
      <c r="C126" s="36" t="s">
        <v>158</v>
      </c>
      <c r="D126" s="36" t="s">
        <v>244</v>
      </c>
      <c r="E126" s="31">
        <v>1</v>
      </c>
      <c r="F126" s="37">
        <v>3500</v>
      </c>
      <c r="G126" s="32">
        <f t="shared" si="3"/>
        <v>3500</v>
      </c>
      <c r="H126" s="33"/>
    </row>
    <row r="127" spans="2:8" x14ac:dyDescent="0.3">
      <c r="B127" s="29"/>
      <c r="C127" s="161" t="s">
        <v>133</v>
      </c>
      <c r="D127" s="162"/>
      <c r="E127" s="31"/>
      <c r="F127" s="37"/>
      <c r="G127" s="32">
        <f t="shared" si="3"/>
        <v>0</v>
      </c>
      <c r="H127" s="33"/>
    </row>
    <row r="128" spans="2:8" x14ac:dyDescent="0.3">
      <c r="B128" s="29"/>
      <c r="C128" s="163"/>
      <c r="D128" s="164"/>
      <c r="E128" s="31"/>
      <c r="F128" s="37"/>
      <c r="G128" s="32">
        <f t="shared" si="3"/>
        <v>0</v>
      </c>
      <c r="H128" s="33"/>
    </row>
    <row r="129" spans="2:8" x14ac:dyDescent="0.3">
      <c r="B129" s="29"/>
      <c r="C129" s="36"/>
      <c r="D129" s="36"/>
      <c r="E129" s="31"/>
      <c r="F129" s="37"/>
      <c r="G129" s="32">
        <f t="shared" si="3"/>
        <v>0</v>
      </c>
      <c r="H129" s="33"/>
    </row>
    <row r="130" spans="2:8" x14ac:dyDescent="0.3">
      <c r="B130" s="29"/>
      <c r="C130" s="36"/>
      <c r="D130" s="36"/>
      <c r="E130" s="31"/>
      <c r="F130" s="37"/>
      <c r="G130" s="32">
        <f t="shared" si="3"/>
        <v>0</v>
      </c>
      <c r="H130" s="33"/>
    </row>
    <row r="131" spans="2:8" x14ac:dyDescent="0.3">
      <c r="B131" s="29"/>
      <c r="C131" s="36"/>
      <c r="D131" s="36"/>
      <c r="E131" s="31"/>
      <c r="F131" s="37"/>
      <c r="G131" s="32">
        <f t="shared" si="3"/>
        <v>0</v>
      </c>
      <c r="H131" s="33"/>
    </row>
    <row r="132" spans="2:8" x14ac:dyDescent="0.3">
      <c r="B132" s="29"/>
      <c r="C132" s="36"/>
      <c r="D132" s="36"/>
      <c r="E132" s="53"/>
      <c r="F132" s="37"/>
      <c r="G132" s="32">
        <f t="shared" si="3"/>
        <v>0</v>
      </c>
      <c r="H132" s="33"/>
    </row>
    <row r="133" spans="2:8" x14ac:dyDescent="0.3">
      <c r="B133" s="29"/>
      <c r="C133" s="36"/>
      <c r="D133" s="36"/>
      <c r="E133" s="53"/>
      <c r="F133" s="37"/>
      <c r="G133" s="32">
        <f t="shared" si="3"/>
        <v>0</v>
      </c>
      <c r="H133" s="33"/>
    </row>
    <row r="134" spans="2:8" x14ac:dyDescent="0.3">
      <c r="B134" s="29"/>
      <c r="C134" s="36"/>
      <c r="D134" s="36"/>
      <c r="E134" s="53"/>
      <c r="F134" s="37"/>
      <c r="G134" s="32"/>
      <c r="H134" s="33"/>
    </row>
    <row r="135" spans="2:8" x14ac:dyDescent="0.3">
      <c r="B135" s="29"/>
      <c r="C135" s="30"/>
      <c r="D135" s="30"/>
      <c r="E135" s="31"/>
      <c r="F135" s="54" t="s">
        <v>160</v>
      </c>
      <c r="G135" s="55">
        <f>SUM(G111:G133)</f>
        <v>2271100</v>
      </c>
      <c r="H135" s="34"/>
    </row>
    <row r="136" spans="2:8" ht="17.25" thickBot="1" x14ac:dyDescent="0.35">
      <c r="B136" s="42"/>
      <c r="C136" s="43"/>
      <c r="D136" s="44"/>
      <c r="E136" s="45"/>
      <c r="F136" s="46" t="s">
        <v>6</v>
      </c>
      <c r="G136" s="56">
        <f>G29+G68+G107+G135</f>
        <v>10362100</v>
      </c>
      <c r="H136" s="57"/>
    </row>
  </sheetData>
  <mergeCells count="9">
    <mergeCell ref="D108:F109"/>
    <mergeCell ref="G108:H109"/>
    <mergeCell ref="C127:D128"/>
    <mergeCell ref="D1:F2"/>
    <mergeCell ref="G1:H2"/>
    <mergeCell ref="D30:F31"/>
    <mergeCell ref="G30:H31"/>
    <mergeCell ref="D69:F70"/>
    <mergeCell ref="G69:H70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70"/>
  <sheetViews>
    <sheetView tabSelected="1" topLeftCell="A40" workbookViewId="0">
      <selection activeCell="C62" sqref="C62"/>
    </sheetView>
  </sheetViews>
  <sheetFormatPr defaultColWidth="8.75" defaultRowHeight="16.5" x14ac:dyDescent="0.3"/>
  <cols>
    <col min="1" max="1" width="5.25" style="111" customWidth="1"/>
    <col min="2" max="2" width="13.25" style="111" customWidth="1"/>
    <col min="3" max="3" width="23.5" style="111" customWidth="1"/>
    <col min="4" max="4" width="6.625" style="111" customWidth="1"/>
    <col min="5" max="5" width="6.25" style="122" customWidth="1"/>
    <col min="6" max="8" width="9.125" style="111" customWidth="1"/>
    <col min="9" max="9" width="11.875" style="111" customWidth="1"/>
    <col min="10" max="10" width="22.375" style="111" customWidth="1"/>
    <col min="11" max="16384" width="8.75" style="111"/>
  </cols>
  <sheetData>
    <row r="1" spans="1:10" ht="17.45" customHeight="1" x14ac:dyDescent="0.3">
      <c r="A1" s="170" t="s">
        <v>330</v>
      </c>
      <c r="B1" s="170"/>
      <c r="C1" s="170"/>
      <c r="D1" s="170"/>
      <c r="E1" s="170"/>
      <c r="F1" s="170"/>
      <c r="G1" s="170"/>
      <c r="H1" s="170"/>
      <c r="I1" s="170"/>
      <c r="J1" s="170"/>
    </row>
    <row r="2" spans="1:10" ht="18" customHeight="1" thickBot="1" x14ac:dyDescent="0.35">
      <c r="A2" s="171"/>
      <c r="B2" s="171"/>
      <c r="C2" s="171"/>
      <c r="D2" s="171"/>
      <c r="E2" s="171"/>
      <c r="F2" s="171"/>
      <c r="G2" s="171"/>
      <c r="H2" s="171"/>
      <c r="I2" s="171"/>
      <c r="J2" s="171"/>
    </row>
    <row r="3" spans="1:10" x14ac:dyDescent="0.3">
      <c r="A3" s="112" t="s">
        <v>331</v>
      </c>
      <c r="B3" s="113" t="s">
        <v>332</v>
      </c>
      <c r="C3" s="113" t="s">
        <v>333</v>
      </c>
      <c r="D3" s="113" t="s">
        <v>334</v>
      </c>
      <c r="E3" s="113" t="s">
        <v>335</v>
      </c>
      <c r="F3" s="113" t="s">
        <v>336</v>
      </c>
      <c r="G3" s="113" t="s">
        <v>337</v>
      </c>
      <c r="H3" s="113" t="s">
        <v>338</v>
      </c>
      <c r="I3" s="113" t="s">
        <v>339</v>
      </c>
      <c r="J3" s="114" t="s">
        <v>340</v>
      </c>
    </row>
    <row r="4" spans="1:10" x14ac:dyDescent="0.3">
      <c r="A4" s="172">
        <v>1</v>
      </c>
      <c r="B4" s="175" t="s">
        <v>341</v>
      </c>
      <c r="C4" s="101" t="s">
        <v>342</v>
      </c>
      <c r="D4" s="101" t="s">
        <v>343</v>
      </c>
      <c r="E4" s="101">
        <v>1238</v>
      </c>
      <c r="F4" s="101">
        <v>250</v>
      </c>
      <c r="G4" s="101">
        <v>150</v>
      </c>
      <c r="H4" s="101">
        <v>60000</v>
      </c>
      <c r="I4" s="98">
        <f>((F4+G4)*E4)+H4</f>
        <v>555200</v>
      </c>
      <c r="J4" s="109" t="s">
        <v>311</v>
      </c>
    </row>
    <row r="5" spans="1:10" x14ac:dyDescent="0.3">
      <c r="A5" s="173"/>
      <c r="B5" s="176"/>
      <c r="C5" s="101" t="s">
        <v>344</v>
      </c>
      <c r="D5" s="101" t="s">
        <v>312</v>
      </c>
      <c r="E5" s="101">
        <v>3</v>
      </c>
      <c r="F5" s="101">
        <v>0</v>
      </c>
      <c r="G5" s="101">
        <v>150000</v>
      </c>
      <c r="H5" s="101"/>
      <c r="I5" s="98">
        <f t="shared" ref="I5:I9" si="0">((F5+G5)*E5)+H5</f>
        <v>450000</v>
      </c>
      <c r="J5" s="109"/>
    </row>
    <row r="6" spans="1:10" x14ac:dyDescent="0.3">
      <c r="A6" s="173"/>
      <c r="B6" s="176"/>
      <c r="C6" s="101" t="s">
        <v>313</v>
      </c>
      <c r="D6" s="101" t="s">
        <v>345</v>
      </c>
      <c r="E6" s="101">
        <v>1</v>
      </c>
      <c r="F6" s="101">
        <v>300000</v>
      </c>
      <c r="G6" s="101">
        <v>300000</v>
      </c>
      <c r="H6" s="101"/>
      <c r="I6" s="98">
        <f t="shared" si="0"/>
        <v>600000</v>
      </c>
      <c r="J6" s="109"/>
    </row>
    <row r="7" spans="1:10" x14ac:dyDescent="0.3">
      <c r="A7" s="173"/>
      <c r="B7" s="176"/>
      <c r="C7" s="101" t="s">
        <v>316</v>
      </c>
      <c r="D7" s="101" t="s">
        <v>314</v>
      </c>
      <c r="E7" s="101">
        <v>1</v>
      </c>
      <c r="F7" s="101">
        <v>300000</v>
      </c>
      <c r="G7" s="101">
        <v>300000</v>
      </c>
      <c r="H7" s="101"/>
      <c r="I7" s="98">
        <f t="shared" si="0"/>
        <v>600000</v>
      </c>
      <c r="J7" s="109"/>
    </row>
    <row r="8" spans="1:10" x14ac:dyDescent="0.3">
      <c r="A8" s="173"/>
      <c r="B8" s="176"/>
      <c r="C8" s="101" t="s">
        <v>317</v>
      </c>
      <c r="D8" s="101" t="s">
        <v>312</v>
      </c>
      <c r="E8" s="101">
        <v>1</v>
      </c>
      <c r="F8" s="101">
        <v>0</v>
      </c>
      <c r="G8" s="101">
        <v>260000</v>
      </c>
      <c r="H8" s="101"/>
      <c r="I8" s="98">
        <f t="shared" si="0"/>
        <v>260000</v>
      </c>
      <c r="J8" s="109"/>
    </row>
    <row r="9" spans="1:10" x14ac:dyDescent="0.3">
      <c r="A9" s="173"/>
      <c r="B9" s="176"/>
      <c r="C9" s="101" t="s">
        <v>318</v>
      </c>
      <c r="D9" s="101" t="s">
        <v>319</v>
      </c>
      <c r="E9" s="101">
        <v>352</v>
      </c>
      <c r="F9" s="101">
        <v>3000</v>
      </c>
      <c r="G9" s="101">
        <v>6000</v>
      </c>
      <c r="H9" s="101">
        <v>60000</v>
      </c>
      <c r="I9" s="98">
        <f t="shared" si="0"/>
        <v>3228000</v>
      </c>
      <c r="J9" s="109" t="s">
        <v>311</v>
      </c>
    </row>
    <row r="10" spans="1:10" x14ac:dyDescent="0.3">
      <c r="A10" s="173"/>
      <c r="B10" s="176"/>
      <c r="C10" s="101" t="s">
        <v>320</v>
      </c>
      <c r="D10" s="101" t="s">
        <v>346</v>
      </c>
      <c r="E10" s="101">
        <v>1</v>
      </c>
      <c r="F10" s="101">
        <v>300000</v>
      </c>
      <c r="G10" s="101">
        <v>150000</v>
      </c>
      <c r="H10" s="101">
        <v>50000</v>
      </c>
      <c r="I10" s="98">
        <f t="shared" ref="I10:I43" si="1">(F10+G10+H10)*E10</f>
        <v>500000</v>
      </c>
      <c r="J10" s="109"/>
    </row>
    <row r="11" spans="1:10" x14ac:dyDescent="0.3">
      <c r="A11" s="173"/>
      <c r="B11" s="176"/>
      <c r="C11" s="101" t="s">
        <v>347</v>
      </c>
      <c r="D11" s="101" t="s">
        <v>345</v>
      </c>
      <c r="E11" s="101">
        <v>1</v>
      </c>
      <c r="F11" s="101">
        <v>300000</v>
      </c>
      <c r="G11" s="101">
        <v>150000</v>
      </c>
      <c r="H11" s="101">
        <v>25000</v>
      </c>
      <c r="I11" s="98">
        <f t="shared" si="1"/>
        <v>475000</v>
      </c>
      <c r="J11" s="109"/>
    </row>
    <row r="12" spans="1:10" x14ac:dyDescent="0.3">
      <c r="A12" s="174"/>
      <c r="B12" s="176"/>
      <c r="C12" s="115" t="s">
        <v>321</v>
      </c>
      <c r="D12" s="101"/>
      <c r="E12" s="101">
        <v>1</v>
      </c>
      <c r="F12" s="101"/>
      <c r="G12" s="101"/>
      <c r="H12" s="101"/>
      <c r="I12" s="102">
        <f>SUM(I4:I11)</f>
        <v>6668200</v>
      </c>
      <c r="J12" s="109"/>
    </row>
    <row r="13" spans="1:10" x14ac:dyDescent="0.3">
      <c r="A13" s="172">
        <v>2</v>
      </c>
      <c r="B13" s="175" t="s">
        <v>348</v>
      </c>
      <c r="C13" s="101" t="s">
        <v>349</v>
      </c>
      <c r="D13" s="101" t="s">
        <v>322</v>
      </c>
      <c r="E13" s="101">
        <v>7</v>
      </c>
      <c r="F13" s="101">
        <v>120000</v>
      </c>
      <c r="G13" s="101">
        <v>25000</v>
      </c>
      <c r="H13" s="101"/>
      <c r="I13" s="98">
        <f t="shared" si="1"/>
        <v>1015000</v>
      </c>
      <c r="J13" s="178" t="s">
        <v>350</v>
      </c>
    </row>
    <row r="14" spans="1:10" x14ac:dyDescent="0.3">
      <c r="A14" s="173"/>
      <c r="B14" s="176"/>
      <c r="C14" s="101" t="s">
        <v>351</v>
      </c>
      <c r="D14" s="101" t="s">
        <v>322</v>
      </c>
      <c r="E14" s="101">
        <v>5</v>
      </c>
      <c r="F14" s="101">
        <v>150000</v>
      </c>
      <c r="G14" s="101">
        <v>32000</v>
      </c>
      <c r="H14" s="101"/>
      <c r="I14" s="98">
        <f t="shared" si="1"/>
        <v>910000</v>
      </c>
      <c r="J14" s="179"/>
    </row>
    <row r="15" spans="1:10" x14ac:dyDescent="0.3">
      <c r="A15" s="173"/>
      <c r="B15" s="176"/>
      <c r="C15" s="101" t="s">
        <v>352</v>
      </c>
      <c r="D15" s="101" t="s">
        <v>353</v>
      </c>
      <c r="E15" s="101">
        <v>166</v>
      </c>
      <c r="F15" s="101">
        <v>10000</v>
      </c>
      <c r="G15" s="101">
        <v>3800</v>
      </c>
      <c r="H15" s="101"/>
      <c r="I15" s="98">
        <f t="shared" si="1"/>
        <v>2290800</v>
      </c>
      <c r="J15" s="179"/>
    </row>
    <row r="16" spans="1:10" x14ac:dyDescent="0.3">
      <c r="A16" s="173"/>
      <c r="B16" s="176"/>
      <c r="C16" s="101" t="s">
        <v>354</v>
      </c>
      <c r="D16" s="101" t="s">
        <v>353</v>
      </c>
      <c r="E16" s="101">
        <v>37</v>
      </c>
      <c r="F16" s="101">
        <v>10000</v>
      </c>
      <c r="G16" s="101">
        <v>6000</v>
      </c>
      <c r="H16" s="101"/>
      <c r="I16" s="98">
        <f t="shared" si="1"/>
        <v>592000</v>
      </c>
      <c r="J16" s="180"/>
    </row>
    <row r="17" spans="1:10" x14ac:dyDescent="0.3">
      <c r="A17" s="173"/>
      <c r="B17" s="176"/>
      <c r="C17" s="101" t="s">
        <v>355</v>
      </c>
      <c r="D17" s="101" t="s">
        <v>315</v>
      </c>
      <c r="E17" s="101">
        <v>1</v>
      </c>
      <c r="F17" s="101">
        <v>150000</v>
      </c>
      <c r="G17" s="101">
        <v>100000</v>
      </c>
      <c r="H17" s="101"/>
      <c r="I17" s="98">
        <f t="shared" si="1"/>
        <v>250000</v>
      </c>
      <c r="J17" s="109"/>
    </row>
    <row r="18" spans="1:10" x14ac:dyDescent="0.3">
      <c r="A18" s="173"/>
      <c r="B18" s="176"/>
      <c r="C18" s="101" t="s">
        <v>356</v>
      </c>
      <c r="D18" s="101"/>
      <c r="E18" s="101">
        <v>1</v>
      </c>
      <c r="F18" s="101"/>
      <c r="G18" s="101"/>
      <c r="H18" s="101"/>
      <c r="I18" s="98">
        <f t="shared" si="1"/>
        <v>0</v>
      </c>
      <c r="J18" s="109"/>
    </row>
    <row r="19" spans="1:10" x14ac:dyDescent="0.3">
      <c r="A19" s="174"/>
      <c r="B19" s="177"/>
      <c r="C19" s="115" t="s">
        <v>324</v>
      </c>
      <c r="D19" s="101"/>
      <c r="E19" s="101">
        <v>1</v>
      </c>
      <c r="F19" s="101"/>
      <c r="G19" s="101"/>
      <c r="H19" s="101"/>
      <c r="I19" s="102">
        <f>SUM(I13:I18)</f>
        <v>5057800</v>
      </c>
      <c r="J19" s="109"/>
    </row>
    <row r="20" spans="1:10" x14ac:dyDescent="0.3">
      <c r="A20" s="172">
        <v>3</v>
      </c>
      <c r="B20" s="175" t="s">
        <v>357</v>
      </c>
      <c r="C20" s="101" t="s">
        <v>358</v>
      </c>
      <c r="D20" s="101" t="s">
        <v>315</v>
      </c>
      <c r="E20" s="101">
        <v>1</v>
      </c>
      <c r="F20" s="101">
        <v>600000</v>
      </c>
      <c r="G20" s="101">
        <v>450000</v>
      </c>
      <c r="H20" s="101"/>
      <c r="I20" s="98">
        <f t="shared" si="1"/>
        <v>1050000</v>
      </c>
      <c r="J20" s="109"/>
    </row>
    <row r="21" spans="1:10" x14ac:dyDescent="0.3">
      <c r="A21" s="173"/>
      <c r="B21" s="176"/>
      <c r="C21" s="101" t="s">
        <v>359</v>
      </c>
      <c r="D21" s="101" t="s">
        <v>315</v>
      </c>
      <c r="E21" s="101">
        <v>1</v>
      </c>
      <c r="F21" s="101">
        <v>600000</v>
      </c>
      <c r="G21" s="101">
        <v>400000</v>
      </c>
      <c r="H21" s="101"/>
      <c r="I21" s="98">
        <f t="shared" si="1"/>
        <v>1000000</v>
      </c>
      <c r="J21" s="109"/>
    </row>
    <row r="22" spans="1:10" x14ac:dyDescent="0.3">
      <c r="A22" s="173"/>
      <c r="B22" s="176"/>
      <c r="C22" s="101" t="s">
        <v>360</v>
      </c>
      <c r="D22" s="101" t="s">
        <v>315</v>
      </c>
      <c r="E22" s="101">
        <v>1</v>
      </c>
      <c r="F22" s="101">
        <v>300000</v>
      </c>
      <c r="G22" s="101">
        <v>650000</v>
      </c>
      <c r="H22" s="101"/>
      <c r="I22" s="98">
        <f t="shared" si="1"/>
        <v>950000</v>
      </c>
      <c r="J22" s="109"/>
    </row>
    <row r="23" spans="1:10" x14ac:dyDescent="0.3">
      <c r="A23" s="174"/>
      <c r="B23" s="177"/>
      <c r="C23" s="115" t="s">
        <v>324</v>
      </c>
      <c r="D23" s="101"/>
      <c r="E23" s="101">
        <v>1</v>
      </c>
      <c r="F23" s="101"/>
      <c r="G23" s="101"/>
      <c r="H23" s="101"/>
      <c r="I23" s="102">
        <f>SUM(I20:I22)</f>
        <v>3000000</v>
      </c>
      <c r="J23" s="109"/>
    </row>
    <row r="24" spans="1:10" ht="17.45" customHeight="1" x14ac:dyDescent="0.3">
      <c r="A24" s="172">
        <v>4</v>
      </c>
      <c r="B24" s="181" t="s">
        <v>361</v>
      </c>
      <c r="C24" s="101" t="s">
        <v>362</v>
      </c>
      <c r="D24" s="101" t="s">
        <v>323</v>
      </c>
      <c r="E24" s="101">
        <v>76</v>
      </c>
      <c r="F24" s="101">
        <v>15000</v>
      </c>
      <c r="G24" s="101">
        <v>14000</v>
      </c>
      <c r="H24" s="101"/>
      <c r="I24" s="98">
        <f t="shared" si="1"/>
        <v>2204000</v>
      </c>
      <c r="J24" s="178" t="s">
        <v>350</v>
      </c>
    </row>
    <row r="25" spans="1:10" x14ac:dyDescent="0.3">
      <c r="A25" s="173"/>
      <c r="B25" s="182"/>
      <c r="C25" s="101" t="s">
        <v>363</v>
      </c>
      <c r="D25" s="101" t="s">
        <v>323</v>
      </c>
      <c r="E25" s="101">
        <v>44</v>
      </c>
      <c r="F25" s="101">
        <v>15000</v>
      </c>
      <c r="G25" s="101">
        <v>14000</v>
      </c>
      <c r="H25" s="101"/>
      <c r="I25" s="98">
        <f t="shared" si="1"/>
        <v>1276000</v>
      </c>
      <c r="J25" s="179"/>
    </row>
    <row r="26" spans="1:10" x14ac:dyDescent="0.3">
      <c r="A26" s="173"/>
      <c r="B26" s="182"/>
      <c r="C26" s="101" t="s">
        <v>364</v>
      </c>
      <c r="D26" s="101" t="s">
        <v>315</v>
      </c>
      <c r="E26" s="101">
        <v>1</v>
      </c>
      <c r="F26" s="101">
        <v>300000</v>
      </c>
      <c r="G26" s="101">
        <v>150000</v>
      </c>
      <c r="H26" s="101"/>
      <c r="I26" s="98">
        <f t="shared" si="1"/>
        <v>450000</v>
      </c>
      <c r="J26" s="180"/>
    </row>
    <row r="27" spans="1:10" x14ac:dyDescent="0.3">
      <c r="A27" s="173"/>
      <c r="B27" s="182"/>
      <c r="C27" s="101" t="s">
        <v>365</v>
      </c>
      <c r="D27" s="101" t="s">
        <v>323</v>
      </c>
      <c r="E27" s="101">
        <f>SUM(E23:E25)</f>
        <v>121</v>
      </c>
      <c r="F27" s="101">
        <v>2500</v>
      </c>
      <c r="G27" s="101">
        <v>1000</v>
      </c>
      <c r="H27" s="101"/>
      <c r="I27" s="98">
        <f t="shared" si="1"/>
        <v>423500</v>
      </c>
      <c r="J27" s="109"/>
    </row>
    <row r="28" spans="1:10" x14ac:dyDescent="0.3">
      <c r="A28" s="173"/>
      <c r="B28" s="182"/>
      <c r="C28" s="101" t="s">
        <v>366</v>
      </c>
      <c r="D28" s="101" t="s">
        <v>323</v>
      </c>
      <c r="E28" s="101">
        <f>SUM(E24:E26)</f>
        <v>121</v>
      </c>
      <c r="F28" s="101">
        <v>0</v>
      </c>
      <c r="G28" s="101">
        <v>8000</v>
      </c>
      <c r="H28" s="101"/>
      <c r="I28" s="98">
        <f t="shared" si="1"/>
        <v>968000</v>
      </c>
      <c r="J28" s="109"/>
    </row>
    <row r="29" spans="1:10" x14ac:dyDescent="0.3">
      <c r="A29" s="173"/>
      <c r="B29" s="182"/>
      <c r="C29" s="101" t="s">
        <v>367</v>
      </c>
      <c r="D29" s="101" t="s">
        <v>315</v>
      </c>
      <c r="E29" s="101">
        <v>1</v>
      </c>
      <c r="F29" s="101"/>
      <c r="G29" s="101">
        <v>60000</v>
      </c>
      <c r="H29" s="101"/>
      <c r="I29" s="98">
        <f t="shared" si="1"/>
        <v>60000</v>
      </c>
      <c r="J29" s="109"/>
    </row>
    <row r="30" spans="1:10" x14ac:dyDescent="0.3">
      <c r="A30" s="174"/>
      <c r="B30" s="176"/>
      <c r="C30" s="115" t="s">
        <v>324</v>
      </c>
      <c r="D30" s="101"/>
      <c r="E30" s="101">
        <v>1</v>
      </c>
      <c r="F30" s="101"/>
      <c r="G30" s="101"/>
      <c r="H30" s="101"/>
      <c r="I30" s="102">
        <f>SUM(I24:I29)</f>
        <v>5381500</v>
      </c>
      <c r="J30" s="109"/>
    </row>
    <row r="31" spans="1:10" x14ac:dyDescent="0.3">
      <c r="A31" s="172">
        <v>5</v>
      </c>
      <c r="B31" s="175" t="s">
        <v>368</v>
      </c>
      <c r="C31" s="101" t="s">
        <v>369</v>
      </c>
      <c r="D31" s="101"/>
      <c r="E31" s="101">
        <v>1</v>
      </c>
      <c r="F31" s="101">
        <v>120000</v>
      </c>
      <c r="G31" s="101">
        <v>550000</v>
      </c>
      <c r="H31" s="101"/>
      <c r="I31" s="98">
        <f t="shared" si="1"/>
        <v>670000</v>
      </c>
      <c r="J31" s="109" t="s">
        <v>325</v>
      </c>
    </row>
    <row r="32" spans="1:10" x14ac:dyDescent="0.3">
      <c r="A32" s="173"/>
      <c r="B32" s="176"/>
      <c r="C32" s="101" t="s">
        <v>326</v>
      </c>
      <c r="D32" s="101"/>
      <c r="E32" s="101">
        <v>2</v>
      </c>
      <c r="F32" s="101">
        <v>120000</v>
      </c>
      <c r="G32" s="101">
        <v>350000</v>
      </c>
      <c r="H32" s="101"/>
      <c r="I32" s="98">
        <f t="shared" si="1"/>
        <v>940000</v>
      </c>
      <c r="J32" s="109"/>
    </row>
    <row r="33" spans="1:10" x14ac:dyDescent="0.3">
      <c r="A33" s="173"/>
      <c r="B33" s="176"/>
      <c r="C33" s="101" t="s">
        <v>370</v>
      </c>
      <c r="D33" s="101"/>
      <c r="E33" s="101">
        <v>1</v>
      </c>
      <c r="F33" s="101">
        <v>120000</v>
      </c>
      <c r="G33" s="101">
        <v>450000</v>
      </c>
      <c r="H33" s="101"/>
      <c r="I33" s="98">
        <f t="shared" si="1"/>
        <v>570000</v>
      </c>
      <c r="J33" s="109"/>
    </row>
    <row r="34" spans="1:10" x14ac:dyDescent="0.3">
      <c r="A34" s="173"/>
      <c r="B34" s="176"/>
      <c r="C34" s="101" t="s">
        <v>371</v>
      </c>
      <c r="D34" s="101"/>
      <c r="E34" s="101">
        <v>1</v>
      </c>
      <c r="F34" s="101">
        <v>120000</v>
      </c>
      <c r="G34" s="101">
        <v>850000</v>
      </c>
      <c r="H34" s="101"/>
      <c r="I34" s="98">
        <f t="shared" si="1"/>
        <v>970000</v>
      </c>
      <c r="J34" s="109"/>
    </row>
    <row r="35" spans="1:10" x14ac:dyDescent="0.3">
      <c r="A35" s="173"/>
      <c r="B35" s="176"/>
      <c r="C35" s="101" t="s">
        <v>372</v>
      </c>
      <c r="D35" s="101"/>
      <c r="E35" s="101">
        <v>1</v>
      </c>
      <c r="F35" s="101">
        <v>120000</v>
      </c>
      <c r="G35" s="101">
        <v>550000</v>
      </c>
      <c r="H35" s="101"/>
      <c r="I35" s="98">
        <f t="shared" si="1"/>
        <v>670000</v>
      </c>
      <c r="J35" s="109"/>
    </row>
    <row r="36" spans="1:10" x14ac:dyDescent="0.3">
      <c r="A36" s="173"/>
      <c r="B36" s="176"/>
      <c r="C36" s="101" t="s">
        <v>373</v>
      </c>
      <c r="D36" s="101"/>
      <c r="E36" s="101">
        <v>1</v>
      </c>
      <c r="F36" s="101">
        <v>120000</v>
      </c>
      <c r="G36" s="101">
        <v>350000</v>
      </c>
      <c r="H36" s="101"/>
      <c r="I36" s="98">
        <f t="shared" si="1"/>
        <v>470000</v>
      </c>
      <c r="J36" s="109"/>
    </row>
    <row r="37" spans="1:10" x14ac:dyDescent="0.3">
      <c r="A37" s="173"/>
      <c r="B37" s="176"/>
      <c r="C37" s="101" t="s">
        <v>327</v>
      </c>
      <c r="D37" s="101"/>
      <c r="E37" s="101">
        <v>1</v>
      </c>
      <c r="F37" s="101">
        <v>120000</v>
      </c>
      <c r="G37" s="101">
        <v>350000</v>
      </c>
      <c r="H37" s="101"/>
      <c r="I37" s="98">
        <f t="shared" si="1"/>
        <v>470000</v>
      </c>
      <c r="J37" s="109"/>
    </row>
    <row r="38" spans="1:10" x14ac:dyDescent="0.3">
      <c r="A38" s="173"/>
      <c r="B38" s="176"/>
      <c r="C38" s="101" t="s">
        <v>374</v>
      </c>
      <c r="D38" s="101"/>
      <c r="E38" s="101">
        <v>1</v>
      </c>
      <c r="F38" s="101">
        <v>0</v>
      </c>
      <c r="G38" s="101">
        <v>600000</v>
      </c>
      <c r="H38" s="101"/>
      <c r="I38" s="98">
        <f t="shared" si="1"/>
        <v>600000</v>
      </c>
      <c r="J38" s="109"/>
    </row>
    <row r="39" spans="1:10" x14ac:dyDescent="0.3">
      <c r="A39" s="173"/>
      <c r="B39" s="176"/>
      <c r="C39" s="101" t="s">
        <v>375</v>
      </c>
      <c r="D39" s="101"/>
      <c r="E39" s="101">
        <v>1</v>
      </c>
      <c r="F39" s="101">
        <v>0</v>
      </c>
      <c r="G39" s="101">
        <v>250000</v>
      </c>
      <c r="H39" s="101"/>
      <c r="I39" s="98">
        <f t="shared" si="1"/>
        <v>250000</v>
      </c>
      <c r="J39" s="109" t="s">
        <v>376</v>
      </c>
    </row>
    <row r="40" spans="1:10" x14ac:dyDescent="0.3">
      <c r="A40" s="173"/>
      <c r="B40" s="176"/>
      <c r="C40" s="101" t="s">
        <v>377</v>
      </c>
      <c r="D40" s="101"/>
      <c r="E40" s="101">
        <v>1</v>
      </c>
      <c r="F40" s="101"/>
      <c r="G40" s="101">
        <v>3000000</v>
      </c>
      <c r="H40" s="101"/>
      <c r="I40" s="98">
        <f t="shared" si="1"/>
        <v>3000000</v>
      </c>
      <c r="J40" s="109" t="s">
        <v>328</v>
      </c>
    </row>
    <row r="41" spans="1:10" x14ac:dyDescent="0.3">
      <c r="A41" s="174"/>
      <c r="B41" s="176"/>
      <c r="C41" s="115" t="s">
        <v>324</v>
      </c>
      <c r="D41" s="101"/>
      <c r="E41" s="101">
        <v>1</v>
      </c>
      <c r="F41" s="101"/>
      <c r="G41" s="101"/>
      <c r="H41" s="101"/>
      <c r="I41" s="102">
        <f>SUM(I31:I40)</f>
        <v>8610000</v>
      </c>
      <c r="J41" s="109" t="s">
        <v>328</v>
      </c>
    </row>
    <row r="42" spans="1:10" x14ac:dyDescent="0.3">
      <c r="A42" s="172">
        <v>6</v>
      </c>
      <c r="B42" s="175" t="s">
        <v>378</v>
      </c>
      <c r="C42" s="101" t="s">
        <v>379</v>
      </c>
      <c r="D42" s="101"/>
      <c r="E42" s="101">
        <v>1</v>
      </c>
      <c r="F42" s="101">
        <v>1800000</v>
      </c>
      <c r="G42" s="101">
        <v>800000</v>
      </c>
      <c r="H42" s="101">
        <v>200000</v>
      </c>
      <c r="I42" s="98">
        <f t="shared" si="1"/>
        <v>2800000</v>
      </c>
      <c r="J42" s="109"/>
    </row>
    <row r="43" spans="1:10" x14ac:dyDescent="0.3">
      <c r="A43" s="173"/>
      <c r="B43" s="176"/>
      <c r="C43" s="101" t="s">
        <v>329</v>
      </c>
      <c r="D43" s="101"/>
      <c r="E43" s="101">
        <v>0</v>
      </c>
      <c r="F43" s="101"/>
      <c r="G43" s="101"/>
      <c r="H43" s="101"/>
      <c r="I43" s="98">
        <f t="shared" si="1"/>
        <v>0</v>
      </c>
      <c r="J43" s="109"/>
    </row>
    <row r="44" spans="1:10" x14ac:dyDescent="0.3">
      <c r="A44" s="174"/>
      <c r="B44" s="177"/>
      <c r="C44" s="115" t="s">
        <v>324</v>
      </c>
      <c r="D44" s="101"/>
      <c r="E44" s="101">
        <v>1</v>
      </c>
      <c r="F44" s="101"/>
      <c r="G44" s="101"/>
      <c r="H44" s="101"/>
      <c r="I44" s="102">
        <f>SUM(I42:I43)</f>
        <v>2800000</v>
      </c>
      <c r="J44" s="109"/>
    </row>
    <row r="45" spans="1:10" x14ac:dyDescent="0.3">
      <c r="A45" s="167">
        <v>7</v>
      </c>
      <c r="B45" s="166" t="s">
        <v>404</v>
      </c>
      <c r="C45" s="104" t="s">
        <v>392</v>
      </c>
      <c r="D45" s="104"/>
      <c r="E45" s="104">
        <v>3</v>
      </c>
      <c r="F45" s="166">
        <v>600000</v>
      </c>
      <c r="G45" s="104">
        <v>125000</v>
      </c>
      <c r="H45" s="101"/>
      <c r="I45" s="98">
        <f>G45*E45</f>
        <v>375000</v>
      </c>
      <c r="J45" s="105"/>
    </row>
    <row r="46" spans="1:10" x14ac:dyDescent="0.3">
      <c r="A46" s="168"/>
      <c r="B46" s="166"/>
      <c r="C46" s="104" t="s">
        <v>393</v>
      </c>
      <c r="D46" s="104"/>
      <c r="E46" s="104">
        <v>2</v>
      </c>
      <c r="F46" s="166"/>
      <c r="G46" s="104">
        <v>110000</v>
      </c>
      <c r="H46" s="101"/>
      <c r="I46" s="98">
        <f t="shared" ref="I46:I63" si="2">G46*E46</f>
        <v>220000</v>
      </c>
      <c r="J46" s="105" t="s">
        <v>28</v>
      </c>
    </row>
    <row r="47" spans="1:10" x14ac:dyDescent="0.3">
      <c r="A47" s="168"/>
      <c r="B47" s="166"/>
      <c r="C47" s="104" t="s">
        <v>394</v>
      </c>
      <c r="D47" s="104"/>
      <c r="E47" s="104">
        <v>2</v>
      </c>
      <c r="F47" s="166"/>
      <c r="G47" s="104">
        <v>280000</v>
      </c>
      <c r="H47" s="101"/>
      <c r="I47" s="98">
        <f t="shared" si="2"/>
        <v>560000</v>
      </c>
      <c r="J47" s="105" t="s">
        <v>248</v>
      </c>
    </row>
    <row r="48" spans="1:10" x14ac:dyDescent="0.3">
      <c r="A48" s="168"/>
      <c r="B48" s="166"/>
      <c r="C48" s="104" t="s">
        <v>395</v>
      </c>
      <c r="D48" s="104"/>
      <c r="E48" s="104">
        <v>4</v>
      </c>
      <c r="F48" s="166"/>
      <c r="G48" s="104">
        <v>245000</v>
      </c>
      <c r="H48" s="101"/>
      <c r="I48" s="98">
        <f t="shared" si="2"/>
        <v>980000</v>
      </c>
      <c r="J48" s="105" t="s">
        <v>385</v>
      </c>
    </row>
    <row r="49" spans="1:10" x14ac:dyDescent="0.3">
      <c r="A49" s="168"/>
      <c r="B49" s="166"/>
      <c r="C49" s="104" t="s">
        <v>396</v>
      </c>
      <c r="D49" s="104"/>
      <c r="E49" s="104">
        <v>2</v>
      </c>
      <c r="F49" s="166"/>
      <c r="G49" s="104">
        <v>680000</v>
      </c>
      <c r="H49" s="101"/>
      <c r="I49" s="98">
        <f t="shared" si="2"/>
        <v>1360000</v>
      </c>
      <c r="J49" s="105" t="s">
        <v>247</v>
      </c>
    </row>
    <row r="50" spans="1:10" x14ac:dyDescent="0.3">
      <c r="A50" s="168"/>
      <c r="B50" s="166"/>
      <c r="C50" s="104" t="s">
        <v>397</v>
      </c>
      <c r="D50" s="104"/>
      <c r="E50" s="104">
        <v>2</v>
      </c>
      <c r="F50" s="166"/>
      <c r="G50" s="104">
        <v>143000</v>
      </c>
      <c r="H50" s="101"/>
      <c r="I50" s="98">
        <f t="shared" si="2"/>
        <v>286000</v>
      </c>
      <c r="J50" s="105" t="s">
        <v>247</v>
      </c>
    </row>
    <row r="51" spans="1:10" x14ac:dyDescent="0.3">
      <c r="A51" s="168"/>
      <c r="B51" s="166"/>
      <c r="C51" s="104" t="s">
        <v>398</v>
      </c>
      <c r="D51" s="104"/>
      <c r="E51" s="104">
        <v>2</v>
      </c>
      <c r="F51" s="166"/>
      <c r="G51" s="104">
        <v>170000</v>
      </c>
      <c r="H51" s="101"/>
      <c r="I51" s="98">
        <f t="shared" si="2"/>
        <v>340000</v>
      </c>
      <c r="J51" s="105"/>
    </row>
    <row r="52" spans="1:10" x14ac:dyDescent="0.3">
      <c r="A52" s="168"/>
      <c r="B52" s="166"/>
      <c r="C52" s="104" t="s">
        <v>415</v>
      </c>
      <c r="D52" s="104"/>
      <c r="E52" s="104">
        <v>1</v>
      </c>
      <c r="F52" s="166"/>
      <c r="G52" s="104">
        <v>280000</v>
      </c>
      <c r="H52" s="101"/>
      <c r="I52" s="98">
        <f t="shared" si="2"/>
        <v>280000</v>
      </c>
      <c r="J52" s="105" t="s">
        <v>416</v>
      </c>
    </row>
    <row r="53" spans="1:10" x14ac:dyDescent="0.3">
      <c r="A53" s="168"/>
      <c r="B53" s="166"/>
      <c r="C53" s="104" t="s">
        <v>399</v>
      </c>
      <c r="D53" s="104"/>
      <c r="E53" s="104">
        <v>1</v>
      </c>
      <c r="F53" s="166"/>
      <c r="G53" s="104">
        <v>80000</v>
      </c>
      <c r="H53" s="101"/>
      <c r="I53" s="98">
        <f t="shared" si="2"/>
        <v>80000</v>
      </c>
      <c r="J53" s="105"/>
    </row>
    <row r="54" spans="1:10" x14ac:dyDescent="0.3">
      <c r="A54" s="168"/>
      <c r="B54" s="166"/>
      <c r="C54" s="104" t="s">
        <v>414</v>
      </c>
      <c r="D54" s="104"/>
      <c r="E54" s="104">
        <v>1</v>
      </c>
      <c r="F54" s="166"/>
      <c r="G54" s="104">
        <v>385000</v>
      </c>
      <c r="H54" s="101"/>
      <c r="I54" s="98">
        <f t="shared" si="2"/>
        <v>385000</v>
      </c>
      <c r="J54" s="105"/>
    </row>
    <row r="55" spans="1:10" x14ac:dyDescent="0.3">
      <c r="A55" s="168"/>
      <c r="B55" s="166"/>
      <c r="C55" s="104" t="s">
        <v>417</v>
      </c>
      <c r="D55" s="104"/>
      <c r="E55" s="104">
        <v>1</v>
      </c>
      <c r="F55" s="166"/>
      <c r="G55" s="104">
        <v>168000</v>
      </c>
      <c r="H55" s="101"/>
      <c r="I55" s="98">
        <f t="shared" si="2"/>
        <v>168000</v>
      </c>
      <c r="J55" s="105"/>
    </row>
    <row r="56" spans="1:10" x14ac:dyDescent="0.3">
      <c r="A56" s="168"/>
      <c r="B56" s="166"/>
      <c r="C56" s="104" t="s">
        <v>400</v>
      </c>
      <c r="D56" s="104"/>
      <c r="E56" s="104">
        <v>2</v>
      </c>
      <c r="F56" s="166"/>
      <c r="G56" s="104">
        <v>132000</v>
      </c>
      <c r="H56" s="101"/>
      <c r="I56" s="98">
        <f t="shared" si="2"/>
        <v>264000</v>
      </c>
      <c r="J56" s="105"/>
    </row>
    <row r="57" spans="1:10" x14ac:dyDescent="0.3">
      <c r="A57" s="168"/>
      <c r="B57" s="166"/>
      <c r="C57" s="104" t="s">
        <v>406</v>
      </c>
      <c r="D57" s="104"/>
      <c r="E57" s="104">
        <v>2</v>
      </c>
      <c r="F57" s="166"/>
      <c r="G57" s="106">
        <v>250000</v>
      </c>
      <c r="H57" s="101"/>
      <c r="I57" s="98">
        <f t="shared" si="2"/>
        <v>500000</v>
      </c>
      <c r="J57" s="107" t="s">
        <v>36</v>
      </c>
    </row>
    <row r="58" spans="1:10" x14ac:dyDescent="0.3">
      <c r="A58" s="168"/>
      <c r="B58" s="166"/>
      <c r="C58" s="104" t="s">
        <v>401</v>
      </c>
      <c r="D58" s="104"/>
      <c r="E58" s="104">
        <v>3</v>
      </c>
      <c r="F58" s="166"/>
      <c r="G58" s="106">
        <v>380000</v>
      </c>
      <c r="H58" s="101"/>
      <c r="I58" s="98">
        <f t="shared" si="2"/>
        <v>1140000</v>
      </c>
      <c r="J58" s="107" t="s">
        <v>43</v>
      </c>
    </row>
    <row r="59" spans="1:10" x14ac:dyDescent="0.3">
      <c r="A59" s="168"/>
      <c r="B59" s="166"/>
      <c r="C59" s="104" t="s">
        <v>402</v>
      </c>
      <c r="D59" s="104"/>
      <c r="E59" s="104">
        <v>4</v>
      </c>
      <c r="F59" s="166"/>
      <c r="G59" s="106">
        <v>80000</v>
      </c>
      <c r="H59" s="101"/>
      <c r="I59" s="98">
        <f t="shared" si="2"/>
        <v>320000</v>
      </c>
      <c r="J59" s="107"/>
    </row>
    <row r="60" spans="1:10" x14ac:dyDescent="0.3">
      <c r="A60" s="168"/>
      <c r="B60" s="166"/>
      <c r="C60" s="104" t="s">
        <v>403</v>
      </c>
      <c r="D60" s="104"/>
      <c r="E60" s="104">
        <v>4</v>
      </c>
      <c r="F60" s="166"/>
      <c r="G60" s="106">
        <v>15000</v>
      </c>
      <c r="H60" s="101"/>
      <c r="I60" s="98">
        <f t="shared" si="2"/>
        <v>60000</v>
      </c>
      <c r="J60" s="107"/>
    </row>
    <row r="61" spans="1:10" x14ac:dyDescent="0.3">
      <c r="A61" s="168"/>
      <c r="B61" s="166"/>
      <c r="C61" s="11" t="s">
        <v>410</v>
      </c>
      <c r="D61" s="104"/>
      <c r="E61" s="104">
        <v>2</v>
      </c>
      <c r="F61" s="104"/>
      <c r="G61" s="13">
        <v>145000</v>
      </c>
      <c r="H61" s="101"/>
      <c r="I61" s="98">
        <f t="shared" si="2"/>
        <v>290000</v>
      </c>
      <c r="J61" s="107"/>
    </row>
    <row r="62" spans="1:10" x14ac:dyDescent="0.3">
      <c r="A62" s="168"/>
      <c r="B62" s="166"/>
      <c r="C62" s="12" t="s">
        <v>411</v>
      </c>
      <c r="D62" s="104"/>
      <c r="E62" s="104">
        <v>2</v>
      </c>
      <c r="F62" s="104"/>
      <c r="G62" s="13">
        <v>280000</v>
      </c>
      <c r="H62" s="101"/>
      <c r="I62" s="98">
        <f t="shared" si="2"/>
        <v>560000</v>
      </c>
      <c r="J62" s="15" t="s">
        <v>23</v>
      </c>
    </row>
    <row r="63" spans="1:10" x14ac:dyDescent="0.3">
      <c r="A63" s="168"/>
      <c r="B63" s="166"/>
      <c r="C63" s="11" t="s">
        <v>412</v>
      </c>
      <c r="D63" s="104"/>
      <c r="E63" s="104">
        <v>2</v>
      </c>
      <c r="F63" s="104"/>
      <c r="G63" s="13">
        <v>145000</v>
      </c>
      <c r="H63" s="101"/>
      <c r="I63" s="98">
        <f t="shared" si="2"/>
        <v>290000</v>
      </c>
      <c r="J63" s="107"/>
    </row>
    <row r="64" spans="1:10" x14ac:dyDescent="0.3">
      <c r="A64" s="169"/>
      <c r="B64" s="166"/>
      <c r="C64" s="104" t="s">
        <v>405</v>
      </c>
      <c r="D64" s="104"/>
      <c r="E64" s="104">
        <v>1</v>
      </c>
      <c r="F64" s="14"/>
      <c r="G64" s="104"/>
      <c r="H64" s="101"/>
      <c r="I64" s="102">
        <f>SUM(I45:I63)</f>
        <v>8458000</v>
      </c>
      <c r="J64" s="109"/>
    </row>
    <row r="65" spans="1:10" x14ac:dyDescent="0.3">
      <c r="A65" s="108"/>
      <c r="B65" s="104"/>
      <c r="C65" s="104"/>
      <c r="D65" s="104"/>
      <c r="E65" s="104"/>
      <c r="F65" s="14"/>
      <c r="G65" s="104"/>
      <c r="H65" s="101"/>
      <c r="I65" s="10"/>
      <c r="J65" s="11"/>
    </row>
    <row r="66" spans="1:10" x14ac:dyDescent="0.3">
      <c r="A66" s="116"/>
      <c r="B66" s="189" t="s">
        <v>268</v>
      </c>
      <c r="C66" s="190"/>
      <c r="D66" s="191"/>
      <c r="E66" s="101"/>
      <c r="F66" s="101"/>
      <c r="G66" s="101"/>
      <c r="H66" s="101"/>
      <c r="I66" s="10"/>
      <c r="J66" s="12"/>
    </row>
    <row r="67" spans="1:10" x14ac:dyDescent="0.3">
      <c r="A67" s="116"/>
      <c r="B67" s="183" t="s">
        <v>380</v>
      </c>
      <c r="C67" s="184"/>
      <c r="D67" s="185"/>
      <c r="E67" s="101"/>
      <c r="F67" s="101"/>
      <c r="G67" s="101"/>
      <c r="H67" s="101"/>
      <c r="I67" s="10"/>
      <c r="J67" s="11"/>
    </row>
    <row r="68" spans="1:10" x14ac:dyDescent="0.3">
      <c r="A68" s="116"/>
      <c r="B68" s="186"/>
      <c r="C68" s="187"/>
      <c r="D68" s="188"/>
      <c r="E68" s="101"/>
      <c r="F68" s="101"/>
      <c r="G68" s="101"/>
      <c r="H68" s="101"/>
      <c r="I68" s="99"/>
      <c r="J68" s="117"/>
    </row>
    <row r="69" spans="1:10" x14ac:dyDescent="0.3">
      <c r="A69" s="108"/>
      <c r="B69" s="104"/>
      <c r="C69" s="104"/>
      <c r="D69" s="104"/>
      <c r="E69" s="104"/>
      <c r="F69" s="104"/>
      <c r="G69" s="104"/>
      <c r="H69" s="104"/>
      <c r="I69" s="16"/>
      <c r="J69" s="107"/>
    </row>
    <row r="70" spans="1:10" ht="17.25" thickBot="1" x14ac:dyDescent="0.35">
      <c r="A70" s="118"/>
      <c r="B70" s="119"/>
      <c r="C70" s="119"/>
      <c r="D70" s="119"/>
      <c r="E70" s="120"/>
      <c r="F70" s="119"/>
      <c r="G70" s="119"/>
      <c r="H70" s="119"/>
      <c r="I70" s="22">
        <f>I12+I19+I23+I30+I41+I44+I64</f>
        <v>39975500</v>
      </c>
      <c r="J70" s="121"/>
    </row>
  </sheetData>
  <mergeCells count="20">
    <mergeCell ref="B67:D68"/>
    <mergeCell ref="A31:A41"/>
    <mergeCell ref="B31:B41"/>
    <mergeCell ref="A42:A44"/>
    <mergeCell ref="B42:B44"/>
    <mergeCell ref="B66:D66"/>
    <mergeCell ref="F45:F60"/>
    <mergeCell ref="B45:B64"/>
    <mergeCell ref="A45:A64"/>
    <mergeCell ref="A1:J2"/>
    <mergeCell ref="A4:A12"/>
    <mergeCell ref="B4:B12"/>
    <mergeCell ref="A13:A19"/>
    <mergeCell ref="B13:B19"/>
    <mergeCell ref="J13:J16"/>
    <mergeCell ref="A20:A23"/>
    <mergeCell ref="B20:B23"/>
    <mergeCell ref="A24:A30"/>
    <mergeCell ref="B24:B30"/>
    <mergeCell ref="J24:J26"/>
  </mergeCells>
  <phoneticPr fontId="3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>
      <selection activeCell="M19" sqref="M19"/>
    </sheetView>
  </sheetViews>
  <sheetFormatPr defaultRowHeight="16.5" x14ac:dyDescent="0.3"/>
  <sheetData/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전체</vt:lpstr>
      <vt:lpstr>주방설비(자산성 설비)</vt:lpstr>
      <vt:lpstr>상품판매, 옥상설비</vt:lpstr>
      <vt:lpstr>식당홀 의탁자</vt:lpstr>
      <vt:lpstr>사회적기업 공간</vt:lpstr>
      <vt:lpstr>소모성 기물(자부담)</vt:lpstr>
      <vt:lpstr>주방공사 견적</vt:lpstr>
      <vt:lpstr>만두성형기 견적서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비버스</cp:lastModifiedBy>
  <dcterms:created xsi:type="dcterms:W3CDTF">2025-04-02T10:21:24Z</dcterms:created>
  <dcterms:modified xsi:type="dcterms:W3CDTF">2025-04-09T02:13:50Z</dcterms:modified>
</cp:coreProperties>
</file>