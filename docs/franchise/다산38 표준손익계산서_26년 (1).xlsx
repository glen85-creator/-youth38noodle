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415" windowHeight="7110"/>
  </bookViews>
  <sheets>
    <sheet name="손익계산서_26년" sheetId="1" r:id="rId1"/>
    <sheet name="예싱손익" sheetId="2" state="hidden" r:id="rId2"/>
    <sheet name="초도발주" sheetId="5" state="hidden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D36" i="1" l="1"/>
  <c r="D13" i="1" s="1"/>
  <c r="F36" i="1"/>
  <c r="G17" i="1"/>
  <c r="E2" i="1"/>
  <c r="E9" i="1"/>
  <c r="D22" i="1"/>
  <c r="D17" i="1"/>
  <c r="D7" i="1"/>
  <c r="E10" i="1" l="1"/>
  <c r="E11" i="1"/>
  <c r="E17" i="1"/>
  <c r="E22" i="1"/>
  <c r="D5" i="1"/>
  <c r="E5" i="1" s="1"/>
  <c r="D12" i="1"/>
  <c r="E6" i="1"/>
  <c r="E7" i="1" l="1"/>
  <c r="G2" i="1" l="1"/>
  <c r="F17" i="1"/>
  <c r="F7" i="1"/>
  <c r="G7" i="1" s="1"/>
  <c r="F12" i="1"/>
  <c r="F37" i="1"/>
  <c r="F22" i="1"/>
  <c r="G22" i="1" s="1"/>
  <c r="F13" i="1" l="1"/>
  <c r="F35" i="5" l="1"/>
  <c r="K34" i="5"/>
  <c r="F34" i="5"/>
  <c r="K33" i="5"/>
  <c r="K32" i="5"/>
  <c r="F32" i="5"/>
  <c r="K31" i="5"/>
  <c r="F31" i="5"/>
  <c r="K30" i="5"/>
  <c r="F30" i="5"/>
  <c r="K29" i="5"/>
  <c r="F29" i="5"/>
  <c r="K28" i="5"/>
  <c r="F28" i="5"/>
  <c r="K27" i="5"/>
  <c r="F27" i="5"/>
  <c r="K26" i="5"/>
  <c r="F26" i="5"/>
  <c r="K25" i="5"/>
  <c r="F25" i="5"/>
  <c r="K24" i="5"/>
  <c r="F24" i="5"/>
  <c r="K23" i="5"/>
  <c r="F23" i="5"/>
  <c r="K22" i="5"/>
  <c r="F22" i="5"/>
  <c r="K21" i="5"/>
  <c r="F21" i="5"/>
  <c r="K20" i="5"/>
  <c r="F20" i="5"/>
  <c r="K19" i="5"/>
  <c r="F19" i="5"/>
  <c r="F18" i="5"/>
  <c r="F17" i="5"/>
  <c r="F16" i="5"/>
  <c r="F15" i="5"/>
  <c r="F14" i="5"/>
  <c r="F13" i="5"/>
  <c r="F12" i="5"/>
  <c r="F11" i="5"/>
  <c r="F10" i="5"/>
  <c r="F9" i="5"/>
  <c r="K8" i="5"/>
  <c r="F8" i="5"/>
  <c r="J7" i="5"/>
  <c r="K7" i="5" s="1"/>
  <c r="F7" i="5"/>
  <c r="K6" i="5"/>
  <c r="F6" i="5"/>
  <c r="K5" i="5"/>
  <c r="F5" i="5"/>
  <c r="K4" i="5"/>
  <c r="F4" i="5"/>
  <c r="K3" i="5"/>
  <c r="K16" i="5" s="1"/>
  <c r="F3" i="5"/>
  <c r="K36" i="5" l="1"/>
  <c r="F36" i="5"/>
  <c r="D33" i="2" l="1"/>
  <c r="D30" i="2"/>
  <c r="D29" i="2"/>
  <c r="D32" i="2" s="1"/>
  <c r="D24" i="2"/>
  <c r="F5" i="2"/>
  <c r="B5" i="2" s="1"/>
  <c r="E11" i="2" s="1"/>
  <c r="D13" i="2" s="1"/>
  <c r="D5" i="2"/>
  <c r="D35" i="2" l="1"/>
  <c r="D18" i="2"/>
  <c r="D36" i="2"/>
  <c r="D34" i="2"/>
  <c r="D22" i="2" s="1"/>
  <c r="E22" i="2" s="1"/>
  <c r="D20" i="2"/>
  <c r="D14" i="2"/>
  <c r="E23" i="2" s="1"/>
  <c r="E32" i="2"/>
  <c r="E33" i="2"/>
  <c r="E24" i="2"/>
  <c r="D17" i="2" l="1"/>
  <c r="E17" i="2" s="1"/>
  <c r="E21" i="2" s="1"/>
  <c r="D21" i="2" s="1"/>
  <c r="D38" i="2" s="1"/>
  <c r="E38" i="2" s="1"/>
  <c r="F38" i="1" l="1"/>
  <c r="E13" i="1"/>
  <c r="D38" i="1"/>
</calcChain>
</file>

<file path=xl/sharedStrings.xml><?xml version="1.0" encoding="utf-8"?>
<sst xmlns="http://schemas.openxmlformats.org/spreadsheetml/2006/main" count="273" uniqueCount="231">
  <si>
    <t>컨셉</t>
    <phoneticPr fontId="2" type="noConversion"/>
  </si>
  <si>
    <t>메인메뉴</t>
    <phoneticPr fontId="2" type="noConversion"/>
  </si>
  <si>
    <t>다산38국수</t>
    <phoneticPr fontId="2" type="noConversion"/>
  </si>
  <si>
    <t>3800원</t>
    <phoneticPr fontId="2" type="noConversion"/>
  </si>
  <si>
    <t>착한가격으로 정성한끼를</t>
    <phoneticPr fontId="2" type="noConversion"/>
  </si>
  <si>
    <t>규모</t>
    <phoneticPr fontId="2" type="noConversion"/>
  </si>
  <si>
    <t>매출</t>
    <phoneticPr fontId="2" type="noConversion"/>
  </si>
  <si>
    <t>판매시간</t>
    <phoneticPr fontId="2" type="noConversion"/>
  </si>
  <si>
    <t>테이블</t>
    <phoneticPr fontId="2" type="noConversion"/>
  </si>
  <si>
    <t>회전율</t>
    <phoneticPr fontId="2" type="noConversion"/>
  </si>
  <si>
    <t>객단가</t>
    <phoneticPr fontId="2" type="noConversion"/>
  </si>
  <si>
    <t>AM11~PM8</t>
    <phoneticPr fontId="2" type="noConversion"/>
  </si>
  <si>
    <t>좌석70%</t>
    <phoneticPr fontId="2" type="noConversion"/>
  </si>
  <si>
    <t>3회전/1t</t>
    <phoneticPr fontId="2" type="noConversion"/>
  </si>
  <si>
    <t>6천원/1인</t>
    <phoneticPr fontId="2" type="noConversion"/>
  </si>
  <si>
    <t>운영</t>
    <phoneticPr fontId="2" type="noConversion"/>
  </si>
  <si>
    <t>AM11~PM2</t>
    <phoneticPr fontId="2" type="noConversion"/>
  </si>
  <si>
    <t>점심집중</t>
    <phoneticPr fontId="2" type="noConversion"/>
  </si>
  <si>
    <t>1/2/1회전</t>
    <phoneticPr fontId="2" type="noConversion"/>
  </si>
  <si>
    <t>메뉴제공시간 5분, 식사시간 20분</t>
    <phoneticPr fontId="2" type="noConversion"/>
  </si>
  <si>
    <t>20일/한달</t>
    <phoneticPr fontId="2" type="noConversion"/>
  </si>
  <si>
    <t>30일</t>
    <phoneticPr fontId="2" type="noConversion"/>
  </si>
  <si>
    <t>38 목표손익계산서</t>
    <phoneticPr fontId="2" type="noConversion"/>
  </si>
  <si>
    <t>상권 : 주거가든형</t>
    <phoneticPr fontId="2" type="noConversion"/>
  </si>
  <si>
    <t>운 영 수 익 성</t>
    <phoneticPr fontId="2" type="noConversion"/>
  </si>
  <si>
    <t>테이블오더</t>
    <phoneticPr fontId="2" type="noConversion"/>
  </si>
  <si>
    <t>일매출</t>
    <phoneticPr fontId="2" type="noConversion"/>
  </si>
  <si>
    <t>15테이블 기준</t>
    <phoneticPr fontId="2" type="noConversion"/>
  </si>
  <si>
    <t>손 익 계 산 서</t>
    <phoneticPr fontId="2" type="noConversion"/>
  </si>
  <si>
    <t xml:space="preserve">영업일 수 </t>
    <phoneticPr fontId="2" type="noConversion"/>
  </si>
  <si>
    <t>참고항목</t>
    <phoneticPr fontId="2" type="noConversion"/>
  </si>
  <si>
    <t>매출액</t>
  </si>
  <si>
    <t>매출</t>
  </si>
  <si>
    <t>내점</t>
    <phoneticPr fontId="2" type="noConversion"/>
  </si>
  <si>
    <t>포장</t>
    <phoneticPr fontId="2" type="noConversion"/>
  </si>
  <si>
    <t>배달</t>
    <phoneticPr fontId="2" type="noConversion"/>
  </si>
  <si>
    <t>매 출 원 가 (재료비)</t>
    <phoneticPr fontId="2" type="noConversion"/>
  </si>
  <si>
    <t>재 료 비</t>
    <phoneticPr fontId="2" type="noConversion"/>
  </si>
  <si>
    <t>본사물류</t>
    <phoneticPr fontId="2" type="noConversion"/>
  </si>
  <si>
    <t>1% 로스율 감안</t>
    <phoneticPr fontId="2" type="noConversion"/>
  </si>
  <si>
    <t>포장용기</t>
    <phoneticPr fontId="2" type="noConversion"/>
  </si>
  <si>
    <t>포장용기 별도 구분 필요</t>
    <phoneticPr fontId="2" type="noConversion"/>
  </si>
  <si>
    <t>매장사입</t>
    <phoneticPr fontId="2" type="noConversion"/>
  </si>
  <si>
    <t>야채 + 사입 포함</t>
    <phoneticPr fontId="2" type="noConversion"/>
  </si>
  <si>
    <t>매출이익</t>
  </si>
  <si>
    <t>판매비와 관리비</t>
  </si>
  <si>
    <t>서빙로봇</t>
    <phoneticPr fontId="2" type="noConversion"/>
  </si>
  <si>
    <t>소계</t>
  </si>
  <si>
    <t>1대 월 사용료 125,000원</t>
    <phoneticPr fontId="2" type="noConversion"/>
  </si>
  <si>
    <t xml:space="preserve">테이블오더     </t>
    <phoneticPr fontId="2" type="noConversion"/>
  </si>
  <si>
    <t>소계</t>
    <phoneticPr fontId="2" type="noConversion"/>
  </si>
  <si>
    <t>테이블오더 1대 월사용료 13,000원</t>
    <phoneticPr fontId="2" type="noConversion"/>
  </si>
  <si>
    <t>인건비</t>
    <phoneticPr fontId="2" type="noConversion"/>
  </si>
  <si>
    <t>급여(정직원)</t>
  </si>
  <si>
    <t>점장</t>
    <phoneticPr fontId="2" type="noConversion"/>
  </si>
  <si>
    <t xml:space="preserve"> </t>
    <phoneticPr fontId="2" type="noConversion"/>
  </si>
  <si>
    <t>주방1</t>
    <phoneticPr fontId="2" type="noConversion"/>
  </si>
  <si>
    <t>주방2</t>
    <phoneticPr fontId="2" type="noConversion"/>
  </si>
  <si>
    <t>홀매니져</t>
    <phoneticPr fontId="2" type="noConversion"/>
  </si>
  <si>
    <t>주말알바</t>
    <phoneticPr fontId="2" type="noConversion"/>
  </si>
  <si>
    <t>홀주말알바</t>
    <phoneticPr fontId="2" type="noConversion"/>
  </si>
  <si>
    <t>(오전1인+오후2인) )시급 1만2천원 * 일 4시간 근무 * 3명</t>
    <phoneticPr fontId="2" type="noConversion"/>
  </si>
  <si>
    <t>상품매니져</t>
    <phoneticPr fontId="2" type="noConversion"/>
  </si>
  <si>
    <t>상품매니저</t>
    <phoneticPr fontId="2" type="noConversion"/>
  </si>
  <si>
    <r>
      <t xml:space="preserve">시급 1만2천원 * 일 </t>
    </r>
    <r>
      <rPr>
        <sz val="9"/>
        <rFont val="맑은 고딕"/>
        <family val="3"/>
        <charset val="129"/>
      </rPr>
      <t>4</t>
    </r>
    <r>
      <rPr>
        <sz val="9"/>
        <rFont val="나눔스퀘어"/>
        <family val="3"/>
        <charset val="129"/>
      </rPr>
      <t xml:space="preserve">시간 근무 * </t>
    </r>
    <r>
      <rPr>
        <sz val="9"/>
        <rFont val="맑은 고딕"/>
        <family val="3"/>
        <charset val="129"/>
      </rPr>
      <t>1</t>
    </r>
    <r>
      <rPr>
        <sz val="9"/>
        <rFont val="나눔스퀘어"/>
        <family val="3"/>
        <charset val="129"/>
      </rPr>
      <t>명</t>
    </r>
    <phoneticPr fontId="2" type="noConversion"/>
  </si>
  <si>
    <t>4대보험</t>
    <phoneticPr fontId="2" type="noConversion"/>
  </si>
  <si>
    <t>급여*10%</t>
    <phoneticPr fontId="2" type="noConversion"/>
  </si>
  <si>
    <t>고객 배퇴식 기준</t>
    <phoneticPr fontId="2" type="noConversion"/>
  </si>
  <si>
    <t>임대료</t>
    <phoneticPr fontId="2" type="noConversion"/>
  </si>
  <si>
    <t>임대료 250만원(별도가)</t>
    <phoneticPr fontId="2" type="noConversion"/>
  </si>
  <si>
    <t>수도광열비</t>
  </si>
  <si>
    <t>25년 인상</t>
    <phoneticPr fontId="2" type="noConversion"/>
  </si>
  <si>
    <t>일반관리비</t>
  </si>
  <si>
    <t>복리후생비, 보험료, 기장수수료, 인터넷, 정수기등</t>
    <phoneticPr fontId="2" type="noConversion"/>
  </si>
  <si>
    <t>카드수수료(2%)</t>
    <phoneticPr fontId="2" type="noConversion"/>
  </si>
  <si>
    <t>세금포함</t>
    <phoneticPr fontId="2" type="noConversion"/>
  </si>
  <si>
    <t>브랜드로얄티</t>
    <phoneticPr fontId="2" type="noConversion"/>
  </si>
  <si>
    <t>서로돌봄 로열티(본사+공제)</t>
    <phoneticPr fontId="2" type="noConversion"/>
  </si>
  <si>
    <t>영 업 이 익</t>
    <phoneticPr fontId="2" type="noConversion"/>
  </si>
  <si>
    <t>(200g*5개)10팩/박스</t>
  </si>
  <si>
    <t>(110g*16개)/팩</t>
  </si>
  <si>
    <t>냉면육수/골드사골통합</t>
  </si>
  <si>
    <t>2kg/개</t>
  </si>
  <si>
    <t>(통/18L)</t>
  </si>
  <si>
    <t>함양농협쌀</t>
  </si>
  <si>
    <t>(박스10kg)</t>
  </si>
  <si>
    <t>(3g*200개)/개</t>
  </si>
  <si>
    <t>번
호</t>
    <phoneticPr fontId="2" type="noConversion"/>
  </si>
  <si>
    <t>발주</t>
    <phoneticPr fontId="2" type="noConversion"/>
  </si>
  <si>
    <t>인터넷구매</t>
    <phoneticPr fontId="2" type="noConversion"/>
  </si>
  <si>
    <t>품목</t>
    <phoneticPr fontId="2" type="noConversion"/>
  </si>
  <si>
    <t>규격</t>
    <phoneticPr fontId="2" type="noConversion"/>
  </si>
  <si>
    <t>수량</t>
    <phoneticPr fontId="2" type="noConversion"/>
  </si>
  <si>
    <t>단가</t>
    <phoneticPr fontId="2" type="noConversion"/>
  </si>
  <si>
    <t>금액</t>
    <phoneticPr fontId="2" type="noConversion"/>
  </si>
  <si>
    <t>픔목</t>
    <phoneticPr fontId="2" type="noConversion"/>
  </si>
  <si>
    <t>생면1.0/빨강</t>
    <phoneticPr fontId="2" type="noConversion"/>
  </si>
  <si>
    <t>(150g*24개)*2팩</t>
    <phoneticPr fontId="2" type="noConversion"/>
  </si>
  <si>
    <t>칼국수면</t>
    <phoneticPr fontId="2" type="noConversion"/>
  </si>
  <si>
    <t>64개</t>
    <phoneticPr fontId="17" type="noConversion"/>
  </si>
  <si>
    <t>평양냉면/냉동</t>
    <phoneticPr fontId="2" type="noConversion"/>
  </si>
  <si>
    <t>우리콩두부(곰곰)</t>
    <phoneticPr fontId="2" type="noConversion"/>
  </si>
  <si>
    <t>500g*2개</t>
    <phoneticPr fontId="2" type="noConversion"/>
  </si>
  <si>
    <t>등심돈까스100(파랑)</t>
    <phoneticPr fontId="2" type="noConversion"/>
  </si>
  <si>
    <t>(100g*10)/팩</t>
    <phoneticPr fontId="2" type="noConversion"/>
  </si>
  <si>
    <t>용식품용면가 콩국수용 콩가루</t>
    <phoneticPr fontId="2" type="noConversion"/>
  </si>
  <si>
    <t>850g*10개</t>
    <phoneticPr fontId="2" type="noConversion"/>
  </si>
  <si>
    <t>자연치즈돈까스</t>
    <phoneticPr fontId="2" type="noConversion"/>
  </si>
  <si>
    <t>탈피들깨가루(청정식품 식당용고소한)</t>
    <phoneticPr fontId="2" type="noConversion"/>
  </si>
  <si>
    <t>1kg/개</t>
    <phoneticPr fontId="2" type="noConversion"/>
  </si>
  <si>
    <t>잔치분말</t>
    <phoneticPr fontId="2" type="noConversion"/>
  </si>
  <si>
    <t xml:space="preserve">캔사이다(제로) </t>
  </si>
  <si>
    <t>24개/박스</t>
    <phoneticPr fontId="2" type="noConversion"/>
  </si>
  <si>
    <t>우골농축액플러스</t>
    <phoneticPr fontId="2" type="noConversion"/>
  </si>
  <si>
    <t>(1kg/개)신영</t>
    <phoneticPr fontId="2" type="noConversion"/>
  </si>
  <si>
    <t xml:space="preserve">코카콜라(제로) </t>
  </si>
  <si>
    <t>얼큰다데기</t>
    <phoneticPr fontId="2" type="noConversion"/>
  </si>
  <si>
    <t>3kg/개</t>
    <phoneticPr fontId="2" type="noConversion"/>
  </si>
  <si>
    <t>반숙계란장</t>
    <phoneticPr fontId="2" type="noConversion"/>
  </si>
  <si>
    <t>5.4kg/개</t>
    <phoneticPr fontId="17" type="noConversion"/>
  </si>
  <si>
    <t>(5kg*2팩)/박스</t>
    <phoneticPr fontId="2" type="noConversion"/>
  </si>
  <si>
    <t>국수나무비빔장</t>
    <phoneticPr fontId="2" type="noConversion"/>
  </si>
  <si>
    <t>열무물김치</t>
    <phoneticPr fontId="2" type="noConversion"/>
  </si>
  <si>
    <t>(500g*20개)/박스</t>
    <phoneticPr fontId="17" type="noConversion"/>
  </si>
  <si>
    <t xml:space="preserve">돈까스소스플러스 </t>
    <phoneticPr fontId="2" type="noConversion"/>
  </si>
  <si>
    <t>2kg/개</t>
    <phoneticPr fontId="2" type="noConversion"/>
  </si>
  <si>
    <t>계란얇은고명지단</t>
    <phoneticPr fontId="2" type="noConversion"/>
  </si>
  <si>
    <t>700g/개</t>
    <phoneticPr fontId="2" type="noConversion"/>
  </si>
  <si>
    <t>볶음참깨</t>
    <phoneticPr fontId="2" type="noConversion"/>
  </si>
  <si>
    <t>소계</t>
    <phoneticPr fontId="2" type="noConversion"/>
  </si>
  <si>
    <t>김가루</t>
    <phoneticPr fontId="2" type="noConversion"/>
  </si>
  <si>
    <t>400g/개</t>
    <phoneticPr fontId="2" type="noConversion"/>
  </si>
  <si>
    <t>개별구매</t>
    <phoneticPr fontId="2" type="noConversion"/>
  </si>
  <si>
    <t>파슬리가루(봉/200g)</t>
    <phoneticPr fontId="2" type="noConversion"/>
  </si>
  <si>
    <t>200g/개</t>
    <phoneticPr fontId="2" type="noConversion"/>
  </si>
  <si>
    <t xml:space="preserve">무김치(3kg) </t>
    <phoneticPr fontId="2" type="noConversion"/>
  </si>
  <si>
    <t>5kg/1팩</t>
    <phoneticPr fontId="2" type="noConversion"/>
  </si>
  <si>
    <t>쥬키니호박</t>
    <phoneticPr fontId="2" type="noConversion"/>
  </si>
  <si>
    <t>개</t>
    <phoneticPr fontId="2" type="noConversion"/>
  </si>
  <si>
    <t>강동다진김치</t>
    <phoneticPr fontId="2" type="noConversion"/>
  </si>
  <si>
    <t>박스/10kg</t>
    <phoneticPr fontId="2" type="noConversion"/>
  </si>
  <si>
    <t>세척당근</t>
    <phoneticPr fontId="2" type="noConversion"/>
  </si>
  <si>
    <t>박스</t>
    <phoneticPr fontId="2" type="noConversion"/>
  </si>
  <si>
    <t>슬라이스냉동유부</t>
    <phoneticPr fontId="2" type="noConversion"/>
  </si>
  <si>
    <t>대파</t>
    <phoneticPr fontId="2" type="noConversion"/>
  </si>
  <si>
    <t>묶음(10개)</t>
    <phoneticPr fontId="2" type="noConversion"/>
  </si>
  <si>
    <t xml:space="preserve">맛뜨락참기름 </t>
    <phoneticPr fontId="2" type="noConversion"/>
  </si>
  <si>
    <t>1.8L/개</t>
    <phoneticPr fontId="2" type="noConversion"/>
  </si>
  <si>
    <t>양배추</t>
    <phoneticPr fontId="2" type="noConversion"/>
  </si>
  <si>
    <t>망(3개)</t>
    <phoneticPr fontId="2" type="noConversion"/>
  </si>
  <si>
    <t>미니꼬치어묵</t>
    <phoneticPr fontId="2" type="noConversion"/>
  </si>
  <si>
    <t>(봉/25g*10)</t>
    <phoneticPr fontId="2" type="noConversion"/>
  </si>
  <si>
    <t>취정오이</t>
    <phoneticPr fontId="2" type="noConversion"/>
  </si>
  <si>
    <t xml:space="preserve">시치미 </t>
    <phoneticPr fontId="2" type="noConversion"/>
  </si>
  <si>
    <t>240g/개</t>
    <phoneticPr fontId="2" type="noConversion"/>
  </si>
  <si>
    <t>쑥갓</t>
    <phoneticPr fontId="2" type="noConversion"/>
  </si>
  <si>
    <t>콩식용유/메리쉐프</t>
    <phoneticPr fontId="2" type="noConversion"/>
  </si>
  <si>
    <t>팽이버섯</t>
    <phoneticPr fontId="2" type="noConversion"/>
  </si>
  <si>
    <t>러뷰내프킨/테이블네프킨</t>
    <phoneticPr fontId="2" type="noConversion"/>
  </si>
  <si>
    <t>(박스/80개*60팩)</t>
    <phoneticPr fontId="2" type="noConversion"/>
  </si>
  <si>
    <t>숙주</t>
    <phoneticPr fontId="2" type="noConversion"/>
  </si>
  <si>
    <t>20kg/개</t>
    <phoneticPr fontId="2" type="noConversion"/>
  </si>
  <si>
    <t>간장(만두소스용)</t>
    <phoneticPr fontId="2" type="noConversion"/>
  </si>
  <si>
    <t>강동맛김치/노랑</t>
    <phoneticPr fontId="2" type="noConversion"/>
  </si>
  <si>
    <t>식초(만두소스용)</t>
    <phoneticPr fontId="2" type="noConversion"/>
  </si>
  <si>
    <t>말통</t>
    <phoneticPr fontId="2" type="noConversion"/>
  </si>
  <si>
    <t xml:space="preserve">숙주나물(해오름) </t>
    <phoneticPr fontId="2" type="noConversion"/>
  </si>
  <si>
    <t>3.5kg/박스</t>
    <phoneticPr fontId="2" type="noConversion"/>
  </si>
  <si>
    <t>굵은소금</t>
    <phoneticPr fontId="2" type="noConversion"/>
  </si>
  <si>
    <t>봉(kg)</t>
    <phoneticPr fontId="2" type="noConversion"/>
  </si>
  <si>
    <t>갈색설탕</t>
    <phoneticPr fontId="2" type="noConversion"/>
  </si>
  <si>
    <t>(개/1kg)-백설</t>
    <phoneticPr fontId="2" type="noConversion"/>
  </si>
  <si>
    <t>주방세제</t>
    <phoneticPr fontId="2" type="noConversion"/>
  </si>
  <si>
    <t>식초(1회용)</t>
    <phoneticPr fontId="2" type="noConversion"/>
  </si>
  <si>
    <t>(5g*200개)/팩</t>
    <phoneticPr fontId="2" type="noConversion"/>
  </si>
  <si>
    <t>락스</t>
    <phoneticPr fontId="2" type="noConversion"/>
  </si>
  <si>
    <t>겨자(일회용)</t>
    <phoneticPr fontId="2" type="noConversion"/>
  </si>
  <si>
    <t>투명비닐 50L</t>
    <phoneticPr fontId="2" type="noConversion"/>
  </si>
  <si>
    <t>쓰레기봉투</t>
    <phoneticPr fontId="2" type="noConversion"/>
  </si>
  <si>
    <t>내점</t>
    <phoneticPr fontId="2" type="noConversion"/>
  </si>
  <si>
    <t>매 출 원 가 (재료비)</t>
    <phoneticPr fontId="2" type="noConversion"/>
  </si>
  <si>
    <t>재 료 비</t>
    <phoneticPr fontId="2" type="noConversion"/>
  </si>
  <si>
    <t>당월매입</t>
    <phoneticPr fontId="2" type="noConversion"/>
  </si>
  <si>
    <t>인건비</t>
    <phoneticPr fontId="2" type="noConversion"/>
  </si>
  <si>
    <t>급여(정직원)</t>
    <phoneticPr fontId="2" type="noConversion"/>
  </si>
  <si>
    <t>4대보험</t>
    <phoneticPr fontId="2" type="noConversion"/>
  </si>
  <si>
    <t>임대료</t>
    <phoneticPr fontId="2" type="noConversion"/>
  </si>
  <si>
    <t>소모품비</t>
    <phoneticPr fontId="2" type="noConversion"/>
  </si>
  <si>
    <t>복리후생</t>
    <phoneticPr fontId="2" type="noConversion"/>
  </si>
  <si>
    <t>서빙로봇</t>
    <phoneticPr fontId="2" type="noConversion"/>
  </si>
  <si>
    <t>테이블오더</t>
    <phoneticPr fontId="2" type="noConversion"/>
  </si>
  <si>
    <t>기장료</t>
    <phoneticPr fontId="2" type="noConversion"/>
  </si>
  <si>
    <t>인터넷</t>
    <phoneticPr fontId="2" type="noConversion"/>
  </si>
  <si>
    <t>정수기</t>
    <phoneticPr fontId="2" type="noConversion"/>
  </si>
  <si>
    <t>화재보험</t>
    <phoneticPr fontId="2" type="noConversion"/>
  </si>
  <si>
    <t>카드수수료(2%)</t>
    <phoneticPr fontId="2" type="noConversion"/>
  </si>
  <si>
    <t>영 업 이 익</t>
    <phoneticPr fontId="2" type="noConversion"/>
  </si>
  <si>
    <t>전기</t>
    <phoneticPr fontId="2" type="noConversion"/>
  </si>
  <si>
    <t>가스</t>
    <phoneticPr fontId="2" type="noConversion"/>
  </si>
  <si>
    <t>수도</t>
    <phoneticPr fontId="2" type="noConversion"/>
  </si>
  <si>
    <t>손익계산서 _ 다산38국수</t>
    <phoneticPr fontId="2" type="noConversion"/>
  </si>
  <si>
    <t>영업일</t>
    <phoneticPr fontId="2" type="noConversion"/>
  </si>
  <si>
    <t>ㅆ</t>
    <phoneticPr fontId="2" type="noConversion"/>
  </si>
  <si>
    <t>세스코</t>
    <phoneticPr fontId="2" type="noConversion"/>
  </si>
  <si>
    <t>평균일매출</t>
    <phoneticPr fontId="2" type="noConversion"/>
  </si>
  <si>
    <t xml:space="preserve"> </t>
    <phoneticPr fontId="2" type="noConversion"/>
  </si>
  <si>
    <t>1대 월 사용료 125,000원</t>
    <phoneticPr fontId="2" type="noConversion"/>
  </si>
  <si>
    <t>테이블오더 1대 월사용료 13,000원</t>
    <phoneticPr fontId="2" type="noConversion"/>
  </si>
  <si>
    <t>야채</t>
    <phoneticPr fontId="2" type="noConversion"/>
  </si>
  <si>
    <t>재고조사</t>
    <phoneticPr fontId="2" type="noConversion"/>
  </si>
  <si>
    <t>오늘도가게</t>
    <phoneticPr fontId="2" type="noConversion"/>
  </si>
  <si>
    <t>(부가세 포함가)</t>
    <phoneticPr fontId="2" type="noConversion"/>
  </si>
  <si>
    <t>비고</t>
    <phoneticPr fontId="2" type="noConversion"/>
  </si>
  <si>
    <t>온라인 &amp; 카드결재</t>
    <phoneticPr fontId="2" type="noConversion"/>
  </si>
  <si>
    <t>오늘도가게 매입</t>
  </si>
  <si>
    <t>상품매입</t>
    <phoneticPr fontId="2" type="noConversion"/>
  </si>
  <si>
    <t>02월</t>
    <phoneticPr fontId="2" type="noConversion"/>
  </si>
  <si>
    <t>홍보비</t>
    <phoneticPr fontId="2" type="noConversion"/>
  </si>
  <si>
    <t>쿠거발주금액_월말기준</t>
    <phoneticPr fontId="2" type="noConversion"/>
  </si>
  <si>
    <t>(기초재고-기말재고)/구매내역 2월 시트 참조</t>
    <phoneticPr fontId="2" type="noConversion"/>
  </si>
  <si>
    <t>미정</t>
    <phoneticPr fontId="2" type="noConversion"/>
  </si>
  <si>
    <t>급여*10%</t>
  </si>
  <si>
    <t>01월</t>
    <phoneticPr fontId="2" type="noConversion"/>
  </si>
  <si>
    <t>평균일매출</t>
    <phoneticPr fontId="2" type="noConversion"/>
  </si>
  <si>
    <t>영업일</t>
    <phoneticPr fontId="2" type="noConversion"/>
  </si>
  <si>
    <t>급여*10%</t>
    <phoneticPr fontId="2" type="noConversion"/>
  </si>
  <si>
    <t>승강기 관리비</t>
    <phoneticPr fontId="2" type="noConversion"/>
  </si>
  <si>
    <t>105호전기요금&amp;아파트관리비&amp;음쓰&amp;주차비3만원</t>
    <phoneticPr fontId="2" type="noConversion"/>
  </si>
  <si>
    <t>관리비</t>
    <phoneticPr fontId="2" type="noConversion"/>
  </si>
  <si>
    <t>(다산왕식자재 +만두+주류+쿠팡)</t>
    <phoneticPr fontId="2" type="noConversion"/>
  </si>
  <si>
    <t>전화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</si>
</sst>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%"/>
    <numFmt numFmtId="177" formatCode="_-* #,##0_-;\-* #,##0_-;_-* &quot;-&quot;??_-;_-@_-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나눔스퀘어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2"/>
      <name val="나눔스퀘어"/>
      <family val="3"/>
      <charset val="129"/>
    </font>
    <font>
      <b/>
      <sz val="12"/>
      <name val="맑은 고딕"/>
      <family val="3"/>
      <charset val="129"/>
    </font>
    <font>
      <sz val="9"/>
      <name val="나눔스퀘어"/>
      <family val="3"/>
      <charset val="129"/>
    </font>
    <font>
      <sz val="10"/>
      <name val="나눔스퀘어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3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ont="0" applyFill="0" applyBorder="0" applyAlignment="0" applyProtection="0"/>
  </cellStyleXfs>
  <cellXfs count="24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3" fontId="0" fillId="0" borderId="6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41" fontId="6" fillId="2" borderId="5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3" fontId="4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41" fontId="4" fillId="5" borderId="11" xfId="1" applyFont="1" applyFill="1" applyBorder="1" applyAlignment="1">
      <alignment horizontal="center" vertical="center" wrapText="1"/>
    </xf>
    <xf numFmtId="176" fontId="4" fillId="5" borderId="11" xfId="2" applyNumberFormat="1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1" fontId="9" fillId="0" borderId="5" xfId="1" applyFont="1" applyFill="1" applyBorder="1" applyAlignment="1">
      <alignment horizontal="center" vertical="center" wrapText="1"/>
    </xf>
    <xf numFmtId="176" fontId="9" fillId="0" borderId="5" xfId="2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41" fontId="4" fillId="6" borderId="5" xfId="1" applyFont="1" applyFill="1" applyBorder="1" applyAlignment="1">
      <alignment horizontal="center" vertical="center" wrapText="1"/>
    </xf>
    <xf numFmtId="176" fontId="4" fillId="6" borderId="5" xfId="2" applyNumberFormat="1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41" fontId="4" fillId="7" borderId="5" xfId="1" applyFont="1" applyFill="1" applyBorder="1" applyAlignment="1">
      <alignment horizontal="center" vertical="center"/>
    </xf>
    <xf numFmtId="176" fontId="4" fillId="7" borderId="5" xfId="2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horizontal="center" vertical="center"/>
    </xf>
    <xf numFmtId="177" fontId="4" fillId="7" borderId="5" xfId="1" applyNumberFormat="1" applyFont="1" applyFill="1" applyBorder="1" applyAlignment="1">
      <alignment horizontal="center" vertical="center" wrapText="1"/>
    </xf>
    <xf numFmtId="176" fontId="10" fillId="0" borderId="5" xfId="2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1" fontId="4" fillId="0" borderId="5" xfId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1" fontId="8" fillId="0" borderId="5" xfId="1" applyFont="1" applyBorder="1" applyAlignment="1">
      <alignment horizontal="center" vertical="center"/>
    </xf>
    <xf numFmtId="176" fontId="4" fillId="0" borderId="5" xfId="2" applyNumberFormat="1" applyFont="1" applyFill="1" applyBorder="1" applyAlignment="1">
      <alignment horizontal="center" vertical="center" wrapText="1"/>
    </xf>
    <xf numFmtId="41" fontId="4" fillId="8" borderId="5" xfId="1" applyFont="1" applyFill="1" applyBorder="1" applyAlignment="1">
      <alignment horizontal="center" vertical="center" wrapText="1"/>
    </xf>
    <xf numFmtId="176" fontId="4" fillId="8" borderId="5" xfId="2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176" fontId="0" fillId="0" borderId="0" xfId="2" applyNumberFormat="1" applyFo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12" fillId="0" borderId="22" xfId="0" applyFont="1" applyBorder="1" applyAlignment="1">
      <alignment horizontal="center" vertical="center"/>
    </xf>
    <xf numFmtId="0" fontId="13" fillId="10" borderId="23" xfId="0" applyFont="1" applyFill="1" applyBorder="1" applyAlignment="1">
      <alignment horizontal="left" vertical="center"/>
    </xf>
    <xf numFmtId="0" fontId="15" fillId="0" borderId="24" xfId="3" applyFont="1" applyBorder="1" applyAlignment="1">
      <alignment horizontal="left" vertical="top" wrapText="1"/>
    </xf>
    <xf numFmtId="0" fontId="13" fillId="0" borderId="26" xfId="0" applyFont="1" applyBorder="1">
      <alignment vertical="center"/>
    </xf>
    <xf numFmtId="41" fontId="13" fillId="0" borderId="26" xfId="1" applyFont="1" applyBorder="1">
      <alignment vertical="center"/>
    </xf>
    <xf numFmtId="0" fontId="12" fillId="0" borderId="27" xfId="0" applyFont="1" applyBorder="1" applyAlignment="1">
      <alignment horizontal="center" vertical="center"/>
    </xf>
    <xf numFmtId="0" fontId="13" fillId="10" borderId="28" xfId="0" applyFont="1" applyFill="1" applyBorder="1" applyAlignment="1">
      <alignment horizontal="left" vertical="center"/>
    </xf>
    <xf numFmtId="41" fontId="13" fillId="0" borderId="29" xfId="1" applyFont="1" applyBorder="1">
      <alignment vertical="center"/>
    </xf>
    <xf numFmtId="41" fontId="13" fillId="0" borderId="30" xfId="1" applyFont="1" applyBorder="1">
      <alignment vertical="center"/>
    </xf>
    <xf numFmtId="0" fontId="13" fillId="0" borderId="30" xfId="0" applyFont="1" applyBorder="1">
      <alignment vertical="center"/>
    </xf>
    <xf numFmtId="41" fontId="13" fillId="0" borderId="32" xfId="1" applyFont="1" applyBorder="1">
      <alignment vertical="center"/>
    </xf>
    <xf numFmtId="0" fontId="13" fillId="10" borderId="33" xfId="0" applyFont="1" applyFill="1" applyBorder="1" applyAlignment="1" applyProtection="1">
      <alignment vertical="center" shrinkToFit="1"/>
      <protection hidden="1"/>
    </xf>
    <xf numFmtId="0" fontId="13" fillId="10" borderId="28" xfId="1" applyNumberFormat="1" applyFont="1" applyFill="1" applyBorder="1" applyAlignment="1">
      <alignment horizontal="left" vertical="center"/>
    </xf>
    <xf numFmtId="0" fontId="13" fillId="10" borderId="33" xfId="1" applyNumberFormat="1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0" fillId="3" borderId="16" xfId="0" applyFill="1" applyBorder="1">
      <alignment vertical="center"/>
    </xf>
    <xf numFmtId="41" fontId="0" fillId="3" borderId="16" xfId="0" applyNumberFormat="1" applyFill="1" applyBorder="1">
      <alignment vertical="center"/>
    </xf>
    <xf numFmtId="0" fontId="13" fillId="10" borderId="34" xfId="1" applyNumberFormat="1" applyFont="1" applyFill="1" applyBorder="1" applyAlignment="1">
      <alignment horizontal="left" vertical="center"/>
    </xf>
    <xf numFmtId="0" fontId="13" fillId="0" borderId="35" xfId="0" applyFont="1" applyBorder="1">
      <alignment vertical="center"/>
    </xf>
    <xf numFmtId="41" fontId="13" fillId="0" borderId="36" xfId="1" applyFont="1" applyBorder="1">
      <alignment vertical="center"/>
    </xf>
    <xf numFmtId="0" fontId="13" fillId="0" borderId="28" xfId="0" applyFont="1" applyBorder="1">
      <alignment vertical="center"/>
    </xf>
    <xf numFmtId="0" fontId="13" fillId="0" borderId="34" xfId="0" applyFont="1" applyBorder="1">
      <alignment vertical="center"/>
    </xf>
    <xf numFmtId="0" fontId="0" fillId="0" borderId="16" xfId="0" applyBorder="1">
      <alignment vertical="center"/>
    </xf>
    <xf numFmtId="0" fontId="0" fillId="0" borderId="40" xfId="0" applyBorder="1">
      <alignment vertical="center"/>
    </xf>
    <xf numFmtId="0" fontId="0" fillId="0" borderId="20" xfId="0" applyBorder="1">
      <alignment vertical="center"/>
    </xf>
    <xf numFmtId="0" fontId="0" fillId="0" borderId="41" xfId="0" applyBorder="1">
      <alignment vertical="center"/>
    </xf>
    <xf numFmtId="41" fontId="13" fillId="0" borderId="42" xfId="1" applyFont="1" applyBorder="1">
      <alignment vertical="center"/>
    </xf>
    <xf numFmtId="41" fontId="13" fillId="0" borderId="43" xfId="1" applyFont="1" applyBorder="1">
      <alignment vertical="center"/>
    </xf>
    <xf numFmtId="41" fontId="13" fillId="0" borderId="44" xfId="1" applyFont="1" applyBorder="1">
      <alignment vertical="center"/>
    </xf>
    <xf numFmtId="0" fontId="16" fillId="0" borderId="25" xfId="0" applyFont="1" applyBorder="1">
      <alignment vertical="center"/>
    </xf>
    <xf numFmtId="41" fontId="13" fillId="0" borderId="45" xfId="1" applyFont="1" applyBorder="1">
      <alignment vertical="center"/>
    </xf>
    <xf numFmtId="0" fontId="13" fillId="0" borderId="31" xfId="0" applyFont="1" applyBorder="1">
      <alignment vertical="center"/>
    </xf>
    <xf numFmtId="0" fontId="13" fillId="0" borderId="45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31" xfId="1" applyNumberFormat="1" applyFont="1" applyBorder="1" applyAlignment="1">
      <alignment horizontal="left" vertical="center"/>
    </xf>
    <xf numFmtId="41" fontId="13" fillId="0" borderId="46" xfId="1" applyFont="1" applyBorder="1">
      <alignment vertical="center"/>
    </xf>
    <xf numFmtId="41" fontId="13" fillId="0" borderId="35" xfId="1" applyFont="1" applyBorder="1">
      <alignment vertical="center"/>
    </xf>
    <xf numFmtId="41" fontId="15" fillId="0" borderId="30" xfId="1" applyFont="1" applyFill="1" applyBorder="1" applyAlignment="1" applyProtection="1">
      <alignment horizontal="right" vertical="top" wrapText="1"/>
    </xf>
    <xf numFmtId="0" fontId="13" fillId="0" borderId="47" xfId="0" applyFont="1" applyBorder="1">
      <alignment vertical="center"/>
    </xf>
    <xf numFmtId="0" fontId="13" fillId="0" borderId="48" xfId="0" applyFont="1" applyBorder="1">
      <alignment vertical="center"/>
    </xf>
    <xf numFmtId="0" fontId="13" fillId="0" borderId="49" xfId="0" applyFont="1" applyBorder="1">
      <alignment vertical="center"/>
    </xf>
    <xf numFmtId="41" fontId="13" fillId="0" borderId="48" xfId="1" applyFont="1" applyBorder="1">
      <alignment vertical="center"/>
    </xf>
    <xf numFmtId="0" fontId="13" fillId="0" borderId="50" xfId="0" applyFont="1" applyBorder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6" xfId="0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19" fillId="6" borderId="58" xfId="0" applyFont="1" applyFill="1" applyBorder="1" applyAlignment="1">
      <alignment horizontal="center" vertical="center"/>
    </xf>
    <xf numFmtId="0" fontId="19" fillId="10" borderId="46" xfId="0" applyFont="1" applyFill="1" applyBorder="1" applyAlignment="1">
      <alignment horizontal="left" vertical="center"/>
    </xf>
    <xf numFmtId="0" fontId="19" fillId="0" borderId="46" xfId="0" applyFont="1" applyBorder="1" applyAlignment="1">
      <alignment horizontal="left" vertical="center"/>
    </xf>
    <xf numFmtId="0" fontId="19" fillId="0" borderId="55" xfId="0" applyFont="1" applyBorder="1" applyAlignment="1">
      <alignment horizontal="left" vertical="center"/>
    </xf>
    <xf numFmtId="41" fontId="19" fillId="0" borderId="57" xfId="1" applyFont="1" applyBorder="1" applyAlignment="1">
      <alignment horizontal="left" vertical="center"/>
    </xf>
    <xf numFmtId="41" fontId="19" fillId="0" borderId="27" xfId="1" applyFont="1" applyBorder="1" applyAlignment="1">
      <alignment horizontal="left" vertical="center"/>
    </xf>
    <xf numFmtId="41" fontId="19" fillId="0" borderId="54" xfId="1" applyFont="1" applyBorder="1" applyAlignment="1">
      <alignment horizontal="left" vertical="center"/>
    </xf>
    <xf numFmtId="0" fontId="19" fillId="13" borderId="5" xfId="0" applyFont="1" applyFill="1" applyBorder="1" applyAlignment="1">
      <alignment horizontal="left" vertical="center"/>
    </xf>
    <xf numFmtId="0" fontId="19" fillId="13" borderId="53" xfId="0" applyFont="1" applyFill="1" applyBorder="1" applyAlignment="1">
      <alignment horizontal="left" vertical="center"/>
    </xf>
    <xf numFmtId="0" fontId="20" fillId="10" borderId="11" xfId="0" applyFont="1" applyFill="1" applyBorder="1" applyAlignment="1">
      <alignment horizontal="center" vertical="center"/>
    </xf>
    <xf numFmtId="0" fontId="19" fillId="10" borderId="55" xfId="0" applyFont="1" applyFill="1" applyBorder="1" applyAlignment="1">
      <alignment horizontal="left" vertical="center"/>
    </xf>
    <xf numFmtId="0" fontId="24" fillId="10" borderId="12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left" vertical="center"/>
    </xf>
    <xf numFmtId="0" fontId="19" fillId="10" borderId="56" xfId="0" applyFont="1" applyFill="1" applyBorder="1" applyAlignment="1">
      <alignment horizontal="left" vertical="center"/>
    </xf>
    <xf numFmtId="0" fontId="18" fillId="10" borderId="46" xfId="0" applyFont="1" applyFill="1" applyBorder="1" applyAlignment="1">
      <alignment horizontal="center" vertical="center" wrapText="1"/>
    </xf>
    <xf numFmtId="0" fontId="18" fillId="10" borderId="55" xfId="0" applyFont="1" applyFill="1" applyBorder="1" applyAlignment="1">
      <alignment horizontal="center" vertical="center" wrapText="1"/>
    </xf>
    <xf numFmtId="0" fontId="18" fillId="10" borderId="56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center" vertical="center" wrapText="1"/>
    </xf>
    <xf numFmtId="0" fontId="19" fillId="12" borderId="5" xfId="1" applyNumberFormat="1" applyFont="1" applyFill="1" applyBorder="1" applyAlignment="1">
      <alignment horizontal="left" vertical="center"/>
    </xf>
    <xf numFmtId="0" fontId="18" fillId="10" borderId="68" xfId="0" applyFont="1" applyFill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left" vertical="center"/>
    </xf>
    <xf numFmtId="0" fontId="18" fillId="13" borderId="38" xfId="0" applyFont="1" applyFill="1" applyBorder="1" applyAlignment="1">
      <alignment horizontal="center" vertical="center" wrapText="1"/>
    </xf>
    <xf numFmtId="0" fontId="19" fillId="6" borderId="73" xfId="0" applyFont="1" applyFill="1" applyBorder="1" applyAlignment="1">
      <alignment horizontal="left" vertical="center"/>
    </xf>
    <xf numFmtId="0" fontId="19" fillId="10" borderId="75" xfId="0" applyFont="1" applyFill="1" applyBorder="1" applyAlignment="1">
      <alignment horizontal="left" vertical="center"/>
    </xf>
    <xf numFmtId="0" fontId="19" fillId="12" borderId="53" xfId="0" applyFont="1" applyFill="1" applyBorder="1" applyAlignment="1">
      <alignment horizontal="left" vertical="center"/>
    </xf>
    <xf numFmtId="0" fontId="18" fillId="10" borderId="77" xfId="0" applyFont="1" applyFill="1" applyBorder="1" applyAlignment="1">
      <alignment horizontal="center" vertical="center" wrapText="1"/>
    </xf>
    <xf numFmtId="0" fontId="19" fillId="12" borderId="72" xfId="0" applyFont="1" applyFill="1" applyBorder="1" applyAlignment="1">
      <alignment horizontal="left" vertical="center"/>
    </xf>
    <xf numFmtId="0" fontId="19" fillId="14" borderId="75" xfId="0" applyFont="1" applyFill="1" applyBorder="1" applyAlignment="1">
      <alignment horizontal="left" vertical="center"/>
    </xf>
    <xf numFmtId="0" fontId="18" fillId="13" borderId="55" xfId="0" applyFont="1" applyFill="1" applyBorder="1" applyAlignment="1">
      <alignment horizontal="center" vertical="center" wrapText="1"/>
    </xf>
    <xf numFmtId="0" fontId="18" fillId="13" borderId="74" xfId="0" applyFont="1" applyFill="1" applyBorder="1" applyAlignment="1">
      <alignment horizontal="center" vertical="center" wrapText="1"/>
    </xf>
    <xf numFmtId="0" fontId="22" fillId="11" borderId="63" xfId="1" applyNumberFormat="1" applyFont="1" applyFill="1" applyBorder="1" applyAlignment="1">
      <alignment horizontal="center" vertical="center"/>
    </xf>
    <xf numFmtId="177" fontId="22" fillId="11" borderId="64" xfId="1" applyNumberFormat="1" applyFont="1" applyFill="1" applyBorder="1" applyAlignment="1">
      <alignment horizontal="center" vertical="center"/>
    </xf>
    <xf numFmtId="0" fontId="22" fillId="11" borderId="78" xfId="0" applyFont="1" applyFill="1" applyBorder="1" applyAlignment="1">
      <alignment horizontal="center" vertical="center"/>
    </xf>
    <xf numFmtId="41" fontId="18" fillId="14" borderId="51" xfId="1" applyFont="1" applyFill="1" applyBorder="1" applyAlignment="1">
      <alignment horizontal="center" vertical="center" wrapText="1"/>
    </xf>
    <xf numFmtId="176" fontId="18" fillId="14" borderId="52" xfId="2" applyNumberFormat="1" applyFont="1" applyFill="1" applyBorder="1" applyAlignment="1">
      <alignment horizontal="center" vertical="center" wrapText="1"/>
    </xf>
    <xf numFmtId="41" fontId="18" fillId="0" borderId="31" xfId="1" applyFont="1" applyFill="1" applyBorder="1" applyAlignment="1">
      <alignment horizontal="center" vertical="center" wrapText="1"/>
    </xf>
    <xf numFmtId="176" fontId="18" fillId="0" borderId="32" xfId="2" applyNumberFormat="1" applyFont="1" applyFill="1" applyBorder="1" applyAlignment="1">
      <alignment horizontal="center" vertical="center" wrapText="1"/>
    </xf>
    <xf numFmtId="41" fontId="25" fillId="0" borderId="49" xfId="1" applyFont="1" applyFill="1" applyBorder="1" applyAlignment="1">
      <alignment horizontal="center" vertical="center" wrapText="1"/>
    </xf>
    <xf numFmtId="176" fontId="18" fillId="0" borderId="50" xfId="2" applyNumberFormat="1" applyFont="1" applyFill="1" applyBorder="1" applyAlignment="1">
      <alignment horizontal="center" vertical="center" wrapText="1"/>
    </xf>
    <xf numFmtId="41" fontId="18" fillId="6" borderId="67" xfId="1" applyFont="1" applyFill="1" applyBorder="1" applyAlignment="1">
      <alignment horizontal="center" vertical="center" wrapText="1"/>
    </xf>
    <xf numFmtId="176" fontId="18" fillId="6" borderId="69" xfId="2" applyNumberFormat="1" applyFont="1" applyFill="1" applyBorder="1" applyAlignment="1">
      <alignment horizontal="center" vertical="center" wrapText="1"/>
    </xf>
    <xf numFmtId="41" fontId="25" fillId="10" borderId="25" xfId="1" applyFont="1" applyFill="1" applyBorder="1" applyAlignment="1">
      <alignment horizontal="center" vertical="center"/>
    </xf>
    <xf numFmtId="176" fontId="18" fillId="10" borderId="39" xfId="2" applyNumberFormat="1" applyFont="1" applyFill="1" applyBorder="1" applyAlignment="1">
      <alignment horizontal="center" vertical="center" wrapText="1"/>
    </xf>
    <xf numFmtId="41" fontId="18" fillId="10" borderId="31" xfId="1" applyFont="1" applyFill="1" applyBorder="1" applyAlignment="1">
      <alignment horizontal="center" vertical="center"/>
    </xf>
    <xf numFmtId="176" fontId="18" fillId="10" borderId="32" xfId="2" applyNumberFormat="1" applyFont="1" applyFill="1" applyBorder="1" applyAlignment="1">
      <alignment horizontal="center" vertical="center" wrapText="1"/>
    </xf>
    <xf numFmtId="41" fontId="18" fillId="10" borderId="49" xfId="1" applyFont="1" applyFill="1" applyBorder="1" applyAlignment="1">
      <alignment horizontal="center" vertical="center"/>
    </xf>
    <xf numFmtId="176" fontId="18" fillId="10" borderId="50" xfId="2" applyNumberFormat="1" applyFont="1" applyFill="1" applyBorder="1" applyAlignment="1">
      <alignment horizontal="center" vertical="center" wrapText="1"/>
    </xf>
    <xf numFmtId="41" fontId="18" fillId="0" borderId="49" xfId="1" applyFont="1" applyFill="1" applyBorder="1" applyAlignment="1">
      <alignment horizontal="center" vertical="center"/>
    </xf>
    <xf numFmtId="41" fontId="18" fillId="6" borderId="63" xfId="1" applyFont="1" applyFill="1" applyBorder="1" applyAlignment="1">
      <alignment horizontal="center" vertical="center"/>
    </xf>
    <xf numFmtId="176" fontId="18" fillId="6" borderId="64" xfId="2" applyNumberFormat="1" applyFont="1" applyFill="1" applyBorder="1" applyAlignment="1">
      <alignment horizontal="center" vertical="center" wrapText="1"/>
    </xf>
    <xf numFmtId="41" fontId="18" fillId="6" borderId="63" xfId="1" applyFont="1" applyFill="1" applyBorder="1" applyAlignment="1">
      <alignment horizontal="center" vertical="center" wrapText="1"/>
    </xf>
    <xf numFmtId="41" fontId="25" fillId="10" borderId="79" xfId="1" applyFont="1" applyFill="1" applyBorder="1" applyAlignment="1">
      <alignment horizontal="center" vertical="center" wrapText="1"/>
    </xf>
    <xf numFmtId="176" fontId="18" fillId="10" borderId="68" xfId="2" applyNumberFormat="1" applyFont="1" applyFill="1" applyBorder="1" applyAlignment="1">
      <alignment horizontal="center" vertical="center" wrapText="1"/>
    </xf>
    <xf numFmtId="41" fontId="18" fillId="0" borderId="67" xfId="1" applyFont="1" applyFill="1" applyBorder="1" applyAlignment="1">
      <alignment horizontal="center" vertical="center" wrapText="1"/>
    </xf>
    <xf numFmtId="176" fontId="18" fillId="0" borderId="69" xfId="2" applyNumberFormat="1" applyFont="1" applyFill="1" applyBorder="1" applyAlignment="1">
      <alignment horizontal="center" vertical="center" wrapText="1"/>
    </xf>
    <xf numFmtId="176" fontId="19" fillId="0" borderId="32" xfId="2" applyNumberFormat="1" applyFont="1" applyFill="1" applyBorder="1" applyAlignment="1">
      <alignment horizontal="center" vertical="center" wrapText="1"/>
    </xf>
    <xf numFmtId="41" fontId="18" fillId="13" borderId="37" xfId="1" applyFont="1" applyFill="1" applyBorder="1" applyAlignment="1">
      <alignment horizontal="center" vertical="center" wrapText="1"/>
    </xf>
    <xf numFmtId="176" fontId="18" fillId="13" borderId="38" xfId="2" applyNumberFormat="1" applyFont="1" applyFill="1" applyBorder="1" applyAlignment="1">
      <alignment horizontal="center" vertical="center" wrapText="1"/>
    </xf>
    <xf numFmtId="41" fontId="18" fillId="13" borderId="63" xfId="1" applyFont="1" applyFill="1" applyBorder="1" applyAlignment="1">
      <alignment horizontal="center" vertical="center" wrapText="1"/>
    </xf>
    <xf numFmtId="176" fontId="18" fillId="13" borderId="64" xfId="2" applyNumberFormat="1" applyFont="1" applyFill="1" applyBorder="1" applyAlignment="1">
      <alignment horizontal="center" vertical="center" wrapText="1"/>
    </xf>
    <xf numFmtId="41" fontId="18" fillId="10" borderId="67" xfId="1" applyFont="1" applyFill="1" applyBorder="1" applyAlignment="1">
      <alignment horizontal="center" vertical="center" wrapText="1"/>
    </xf>
    <xf numFmtId="41" fontId="18" fillId="10" borderId="31" xfId="1" applyFont="1" applyFill="1" applyBorder="1" applyAlignment="1">
      <alignment horizontal="center" vertical="center" wrapText="1"/>
    </xf>
    <xf numFmtId="176" fontId="18" fillId="0" borderId="38" xfId="2" applyNumberFormat="1" applyFont="1" applyFill="1" applyBorder="1" applyAlignment="1">
      <alignment horizontal="center" vertical="center" wrapText="1"/>
    </xf>
    <xf numFmtId="41" fontId="18" fillId="0" borderId="25" xfId="1" applyFont="1" applyFill="1" applyBorder="1" applyAlignment="1">
      <alignment horizontal="center" vertical="center" wrapText="1"/>
    </xf>
    <xf numFmtId="176" fontId="18" fillId="0" borderId="39" xfId="2" applyNumberFormat="1" applyFont="1" applyFill="1" applyBorder="1" applyAlignment="1">
      <alignment horizontal="center" vertical="center" wrapText="1"/>
    </xf>
    <xf numFmtId="41" fontId="18" fillId="0" borderId="49" xfId="1" applyFont="1" applyFill="1" applyBorder="1" applyAlignment="1">
      <alignment horizontal="center" vertical="center" wrapText="1"/>
    </xf>
    <xf numFmtId="41" fontId="25" fillId="13" borderId="49" xfId="1" applyFont="1" applyFill="1" applyBorder="1" applyAlignment="1">
      <alignment horizontal="center" vertical="center" wrapText="1"/>
    </xf>
    <xf numFmtId="176" fontId="18" fillId="13" borderId="50" xfId="2" applyNumberFormat="1" applyFont="1" applyFill="1" applyBorder="1" applyAlignment="1">
      <alignment horizontal="center" vertical="center" wrapText="1"/>
    </xf>
    <xf numFmtId="41" fontId="25" fillId="13" borderId="63" xfId="1" applyFont="1" applyFill="1" applyBorder="1" applyAlignment="1">
      <alignment horizontal="center" vertical="center" wrapText="1"/>
    </xf>
    <xf numFmtId="176" fontId="15" fillId="13" borderId="64" xfId="2" applyNumberFormat="1" applyFont="1" applyFill="1" applyBorder="1" applyAlignment="1">
      <alignment horizontal="center" vertical="center" wrapText="1"/>
    </xf>
    <xf numFmtId="41" fontId="18" fillId="14" borderId="63" xfId="1" applyFont="1" applyFill="1" applyBorder="1" applyAlignment="1">
      <alignment horizontal="center" vertical="center" wrapText="1"/>
    </xf>
    <xf numFmtId="176" fontId="18" fillId="14" borderId="64" xfId="2" applyNumberFormat="1" applyFont="1" applyFill="1" applyBorder="1" applyAlignment="1">
      <alignment horizontal="center" vertical="center" wrapText="1"/>
    </xf>
    <xf numFmtId="1" fontId="22" fillId="11" borderId="78" xfId="0" applyNumberFormat="1" applyFont="1" applyFill="1" applyBorder="1" applyAlignment="1">
      <alignment horizontal="center" vertical="center"/>
    </xf>
    <xf numFmtId="41" fontId="18" fillId="6" borderId="70" xfId="1" applyFont="1" applyFill="1" applyBorder="1" applyAlignment="1">
      <alignment horizontal="center" vertical="center" wrapText="1"/>
    </xf>
    <xf numFmtId="176" fontId="18" fillId="6" borderId="71" xfId="2" applyNumberFormat="1" applyFont="1" applyFill="1" applyBorder="1" applyAlignment="1">
      <alignment horizontal="center" vertical="center" wrapText="1"/>
    </xf>
    <xf numFmtId="176" fontId="18" fillId="10" borderId="64" xfId="2" applyNumberFormat="1" applyFont="1" applyFill="1" applyBorder="1" applyAlignment="1">
      <alignment horizontal="center" vertical="center" wrapText="1"/>
    </xf>
    <xf numFmtId="176" fontId="18" fillId="12" borderId="64" xfId="2" applyNumberFormat="1" applyFont="1" applyFill="1" applyBorder="1" applyAlignment="1">
      <alignment horizontal="center" vertical="center" wrapText="1"/>
    </xf>
    <xf numFmtId="41" fontId="18" fillId="12" borderId="63" xfId="1" applyFont="1" applyFill="1" applyBorder="1" applyAlignment="1">
      <alignment horizontal="center" vertical="center" wrapText="1"/>
    </xf>
    <xf numFmtId="41" fontId="25" fillId="0" borderId="25" xfId="1" applyFont="1" applyFill="1" applyBorder="1" applyAlignment="1">
      <alignment horizontal="center" vertical="center" wrapText="1"/>
    </xf>
    <xf numFmtId="41" fontId="25" fillId="0" borderId="31" xfId="1" applyFont="1" applyFill="1" applyBorder="1" applyAlignment="1">
      <alignment horizontal="center" vertical="center" wrapText="1"/>
    </xf>
    <xf numFmtId="41" fontId="25" fillId="10" borderId="31" xfId="1" applyFont="1" applyFill="1" applyBorder="1" applyAlignment="1">
      <alignment horizontal="center" vertical="center" wrapText="1"/>
    </xf>
    <xf numFmtId="176" fontId="15" fillId="0" borderId="50" xfId="2" applyNumberFormat="1" applyFont="1" applyFill="1" applyBorder="1" applyAlignment="1">
      <alignment horizontal="center" vertical="center" wrapText="1"/>
    </xf>
    <xf numFmtId="176" fontId="18" fillId="12" borderId="38" xfId="2" applyNumberFormat="1" applyFont="1" applyFill="1" applyBorder="1" applyAlignment="1">
      <alignment horizontal="center" vertical="center" wrapText="1"/>
    </xf>
    <xf numFmtId="176" fontId="18" fillId="12" borderId="71" xfId="2" applyNumberFormat="1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41" fontId="25" fillId="0" borderId="48" xfId="1" applyFont="1" applyFill="1" applyBorder="1" applyAlignment="1">
      <alignment horizontal="center" vertical="center" wrapText="1"/>
    </xf>
    <xf numFmtId="41" fontId="18" fillId="0" borderId="45" xfId="1" applyFont="1" applyFill="1" applyBorder="1" applyAlignment="1">
      <alignment horizontal="center" vertical="center" wrapText="1"/>
    </xf>
    <xf numFmtId="0" fontId="22" fillId="11" borderId="15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1" fillId="11" borderId="59" xfId="0" applyFont="1" applyFill="1" applyBorder="1" applyAlignment="1">
      <alignment horizontal="center" vertical="center"/>
    </xf>
    <xf numFmtId="0" fontId="21" fillId="11" borderId="60" xfId="0" applyFont="1" applyFill="1" applyBorder="1" applyAlignment="1">
      <alignment horizontal="center" vertical="center"/>
    </xf>
    <xf numFmtId="0" fontId="21" fillId="11" borderId="47" xfId="0" applyFont="1" applyFill="1" applyBorder="1" applyAlignment="1">
      <alignment horizontal="center" vertical="center"/>
    </xf>
    <xf numFmtId="0" fontId="21" fillId="11" borderId="14" xfId="0" applyFont="1" applyFill="1" applyBorder="1" applyAlignment="1">
      <alignment horizontal="center" vertical="center"/>
    </xf>
    <xf numFmtId="0" fontId="21" fillId="11" borderId="61" xfId="0" applyFont="1" applyFill="1" applyBorder="1" applyAlignment="1">
      <alignment horizontal="center" vertical="center"/>
    </xf>
    <xf numFmtId="0" fontId="21" fillId="11" borderId="62" xfId="0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 wrapText="1"/>
    </xf>
    <xf numFmtId="0" fontId="18" fillId="6" borderId="64" xfId="0" applyFont="1" applyFill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2" fillId="11" borderId="76" xfId="0" applyFont="1" applyFill="1" applyBorder="1" applyAlignment="1">
      <alignment horizontal="center" vertical="center"/>
    </xf>
    <xf numFmtId="0" fontId="22" fillId="11" borderId="75" xfId="0" applyFont="1" applyFill="1" applyBorder="1" applyAlignment="1">
      <alignment horizontal="center" vertical="center"/>
    </xf>
    <xf numFmtId="0" fontId="18" fillId="14" borderId="63" xfId="0" applyFont="1" applyFill="1" applyBorder="1" applyAlignment="1">
      <alignment horizontal="center" vertical="center" wrapText="1"/>
    </xf>
    <xf numFmtId="0" fontId="18" fillId="14" borderId="64" xfId="0" applyFont="1" applyFill="1" applyBorder="1" applyAlignment="1">
      <alignment horizontal="center" vertical="center" wrapText="1"/>
    </xf>
    <xf numFmtId="0" fontId="18" fillId="14" borderId="51" xfId="0" applyFont="1" applyFill="1" applyBorder="1" applyAlignment="1">
      <alignment horizontal="center" vertical="center" wrapText="1"/>
    </xf>
    <xf numFmtId="0" fontId="18" fillId="14" borderId="52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6" borderId="65" xfId="0" applyFont="1" applyFill="1" applyBorder="1" applyAlignment="1">
      <alignment horizontal="center" vertical="center" wrapText="1"/>
    </xf>
    <xf numFmtId="0" fontId="18" fillId="6" borderId="66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3" fontId="4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41" fontId="18" fillId="10" borderId="16" xfId="1" applyFont="1" applyFill="1" applyBorder="1" applyAlignment="1">
      <alignment horizontal="center" vertical="center" wrapText="1"/>
    </xf>
  </cellXfs>
  <cellStyles count="7">
    <cellStyle name="백분율" xfId="2" builtinId="5"/>
    <cellStyle name="백분율 2" xfId="5"/>
    <cellStyle name="쉼표 [0]" xfId="1" builtinId="6"/>
    <cellStyle name="쉼표 [0] 2" xfId="4"/>
    <cellStyle name="표준" xfId="0" builtinId="0"/>
    <cellStyle name="표준 2" xfId="3"/>
    <cellStyle name="표준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%20&#51088;&#47308;/&#45796;&#49328;25/&#49552;&#51061;&#44228;&#49328;&#49436;/6&#50900;/&#45796;&#49328;38&#44397;&#49688;_&#53685;&#54633;_250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뉴(구성안)"/>
      <sheetName val="매출구성"/>
      <sheetName val="표준손익"/>
      <sheetName val="칼국수"/>
      <sheetName val="얼큰칼국수"/>
      <sheetName val="들깨칼국수"/>
      <sheetName val="다산38국수"/>
      <sheetName val="비빔국수"/>
      <sheetName val="김치듬뿍국수"/>
      <sheetName val="어묵국수"/>
      <sheetName val="살얼음국수"/>
      <sheetName val="열무국수"/>
      <sheetName val="콩국수"/>
      <sheetName val="물냉면"/>
      <sheetName val="비빔냉면 "/>
      <sheetName val="교자만두"/>
      <sheetName val="간장계란밥"/>
      <sheetName val="공기밥"/>
      <sheetName val="미니치즈돈까스"/>
      <sheetName val="미니등심돈까스"/>
      <sheetName val="메뉴별 식재료 정리"/>
      <sheetName val="육개장칼국수"/>
      <sheetName val="미니제육덮밥(신)"/>
      <sheetName val="미니소고기덮밥(신)"/>
      <sheetName val="파닭마요덮밥(신)"/>
      <sheetName val="김치볶음"/>
      <sheetName val="김치찌개돈까스"/>
      <sheetName val="연탄불고기(신)"/>
      <sheetName val="물만두"/>
      <sheetName val="어묵튀김"/>
      <sheetName val="깻잎튀김"/>
      <sheetName val="주먹밥"/>
      <sheetName val="매콤멸치주먹밥"/>
      <sheetName val="멸치주먹밥"/>
      <sheetName val="불닭주먹밥"/>
      <sheetName val="불닭(속재료)"/>
      <sheetName val="참치주먹밥"/>
      <sheetName val="참치마요(속재료)"/>
      <sheetName val="쿠거 외"/>
    </sheetNames>
    <sheetDataSet>
      <sheetData sheetId="0"/>
      <sheetData sheetId="1">
        <row r="26">
          <cell r="H26">
            <v>7500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abSelected="1" workbookViewId="0">
      <selection activeCell="F41" sqref="F41"/>
    </sheetView>
  </sheetViews>
  <sheetFormatPr defaultRowHeight="16.5"/>
  <cols>
    <col min="1" max="1" width="4.5" customWidth="1"/>
    <col min="2" max="2" width="17.5" bestFit="1" customWidth="1"/>
    <col min="3" max="3" width="17.875" bestFit="1" customWidth="1"/>
    <col min="4" max="5" width="12.625" customWidth="1"/>
    <col min="6" max="6" width="15.5" bestFit="1" customWidth="1"/>
    <col min="7" max="7" width="15.25" customWidth="1"/>
    <col min="8" max="8" width="54.25" customWidth="1"/>
    <col min="9" max="9" width="11.875" bestFit="1" customWidth="1"/>
  </cols>
  <sheetData>
    <row r="1" spans="2:8" ht="24.95" customHeight="1">
      <c r="B1" s="202" t="s">
        <v>200</v>
      </c>
      <c r="C1" s="203"/>
      <c r="D1" s="214" t="s">
        <v>222</v>
      </c>
      <c r="E1" s="215"/>
      <c r="F1" s="200" t="s">
        <v>216</v>
      </c>
      <c r="G1" s="201"/>
      <c r="H1" s="122" t="s">
        <v>212</v>
      </c>
    </row>
    <row r="2" spans="2:8" ht="24.95" customHeight="1">
      <c r="B2" s="204"/>
      <c r="C2" s="205"/>
      <c r="D2" s="143" t="s">
        <v>223</v>
      </c>
      <c r="E2" s="144">
        <f>D4/31</f>
        <v>1115858.064516129</v>
      </c>
      <c r="F2" s="143" t="s">
        <v>204</v>
      </c>
      <c r="G2" s="144">
        <f>F4/28</f>
        <v>1194403.5714285714</v>
      </c>
      <c r="H2" s="123"/>
    </row>
    <row r="3" spans="2:8" ht="24.95" customHeight="1" thickBot="1">
      <c r="B3" s="206"/>
      <c r="C3" s="207"/>
      <c r="D3" s="143" t="s">
        <v>224</v>
      </c>
      <c r="E3" s="145">
        <v>31</v>
      </c>
      <c r="F3" s="143" t="s">
        <v>201</v>
      </c>
      <c r="G3" s="185">
        <v>28</v>
      </c>
      <c r="H3" s="120"/>
    </row>
    <row r="4" spans="2:8" ht="24.95" customHeight="1" thickTop="1">
      <c r="B4" s="218" t="s">
        <v>31</v>
      </c>
      <c r="C4" s="219"/>
      <c r="D4" s="146">
        <v>34591600</v>
      </c>
      <c r="E4" s="147">
        <v>1</v>
      </c>
      <c r="F4" s="146">
        <v>33443300</v>
      </c>
      <c r="G4" s="147">
        <v>1</v>
      </c>
      <c r="H4" s="124" t="s">
        <v>211</v>
      </c>
    </row>
    <row r="5" spans="2:8" ht="24.95" customHeight="1">
      <c r="B5" s="211" t="s">
        <v>32</v>
      </c>
      <c r="C5" s="101" t="s">
        <v>179</v>
      </c>
      <c r="D5" s="148">
        <f>D4-D6</f>
        <v>33775900</v>
      </c>
      <c r="E5" s="149">
        <f>D5/D4</f>
        <v>0.97641913065599739</v>
      </c>
      <c r="F5" s="148">
        <v>33137800</v>
      </c>
      <c r="G5" s="149">
        <v>0.99086513591661107</v>
      </c>
      <c r="H5" s="113"/>
    </row>
    <row r="6" spans="2:8" ht="24.95" customHeight="1">
      <c r="B6" s="220"/>
      <c r="C6" s="102" t="s">
        <v>210</v>
      </c>
      <c r="D6" s="150">
        <v>815700</v>
      </c>
      <c r="E6" s="151">
        <f>D6/D4</f>
        <v>2.3580869344002591E-2</v>
      </c>
      <c r="F6" s="178">
        <v>305500</v>
      </c>
      <c r="G6" s="151">
        <v>9.1348640833888994E-3</v>
      </c>
      <c r="H6" s="114"/>
    </row>
    <row r="7" spans="2:8" ht="24.95" customHeight="1">
      <c r="B7" s="221" t="s">
        <v>180</v>
      </c>
      <c r="C7" s="222"/>
      <c r="D7" s="152">
        <f>SUM(D8:D11)</f>
        <v>11045084</v>
      </c>
      <c r="E7" s="153">
        <f>D7/D5</f>
        <v>0.32701079763973723</v>
      </c>
      <c r="F7" s="152">
        <f>SUM(F8:F11)</f>
        <v>11080581</v>
      </c>
      <c r="G7" s="153">
        <f>F7/F5</f>
        <v>0.33437889660749959</v>
      </c>
      <c r="H7" s="111"/>
    </row>
    <row r="8" spans="2:8" ht="24.95" customHeight="1">
      <c r="B8" s="213" t="s">
        <v>181</v>
      </c>
      <c r="C8" s="127" t="s">
        <v>209</v>
      </c>
      <c r="D8" s="154">
        <v>-302813</v>
      </c>
      <c r="E8" s="155"/>
      <c r="F8" s="154">
        <v>-265398</v>
      </c>
      <c r="G8" s="155"/>
      <c r="H8" s="124" t="s">
        <v>219</v>
      </c>
    </row>
    <row r="9" spans="2:8" ht="24.95" customHeight="1">
      <c r="B9" s="213"/>
      <c r="C9" s="125" t="s">
        <v>182</v>
      </c>
      <c r="D9" s="156">
        <v>8673487</v>
      </c>
      <c r="E9" s="157">
        <f>D9/D4</f>
        <v>0.25073968824801396</v>
      </c>
      <c r="F9" s="156">
        <v>8658409</v>
      </c>
      <c r="G9" s="157">
        <v>0.25889816495381734</v>
      </c>
      <c r="H9" s="112" t="s">
        <v>218</v>
      </c>
    </row>
    <row r="10" spans="2:8" ht="24.95" customHeight="1">
      <c r="B10" s="213"/>
      <c r="C10" s="126" t="s">
        <v>208</v>
      </c>
      <c r="D10" s="158">
        <v>762400</v>
      </c>
      <c r="E10" s="159">
        <f>D10/D4</f>
        <v>2.2040032840342741E-2</v>
      </c>
      <c r="F10" s="158">
        <v>1082100</v>
      </c>
      <c r="G10" s="159">
        <v>3.2356256709116626E-2</v>
      </c>
      <c r="H10" s="121"/>
    </row>
    <row r="11" spans="2:8" ht="24.95" customHeight="1">
      <c r="B11" s="213"/>
      <c r="C11" s="126" t="s">
        <v>213</v>
      </c>
      <c r="D11" s="160">
        <v>1912010</v>
      </c>
      <c r="E11" s="151">
        <f>D11/D4</f>
        <v>5.527382370286428E-2</v>
      </c>
      <c r="F11" s="160">
        <v>1605470</v>
      </c>
      <c r="G11" s="151">
        <v>4.8005729099700092E-2</v>
      </c>
      <c r="H11" s="121" t="s">
        <v>229</v>
      </c>
    </row>
    <row r="12" spans="2:8" ht="24.95" customHeight="1">
      <c r="B12" s="208" t="s">
        <v>44</v>
      </c>
      <c r="C12" s="209"/>
      <c r="D12" s="161">
        <f>D4-D7</f>
        <v>23546516</v>
      </c>
      <c r="E12" s="162"/>
      <c r="F12" s="161">
        <f>F4-F7</f>
        <v>22362719</v>
      </c>
      <c r="G12" s="162"/>
      <c r="H12" s="128"/>
    </row>
    <row r="13" spans="2:8" ht="24.95" customHeight="1">
      <c r="B13" s="208" t="s">
        <v>45</v>
      </c>
      <c r="C13" s="209"/>
      <c r="D13" s="163">
        <f>D14+D17+D18+D22+D36+D37</f>
        <v>23599261</v>
      </c>
      <c r="E13" s="162">
        <f>D13/D4</f>
        <v>0.68222519339955368</v>
      </c>
      <c r="F13" s="186">
        <f>F14+F17+F18+F22+F36+F37</f>
        <v>22069091</v>
      </c>
      <c r="G13" s="187">
        <v>0.72865010330918301</v>
      </c>
      <c r="H13" s="135"/>
    </row>
    <row r="14" spans="2:8" ht="24.95" customHeight="1">
      <c r="B14" s="138" t="s">
        <v>215</v>
      </c>
      <c r="C14" s="131" t="s">
        <v>214</v>
      </c>
      <c r="D14" s="164">
        <v>536485</v>
      </c>
      <c r="E14" s="165"/>
      <c r="F14" s="242">
        <v>320228</v>
      </c>
      <c r="G14" s="188">
        <v>9.1348640833888994E-3</v>
      </c>
      <c r="H14" s="136" t="s">
        <v>220</v>
      </c>
    </row>
    <row r="15" spans="2:8" ht="24.95" customHeight="1">
      <c r="B15" s="210" t="s">
        <v>183</v>
      </c>
      <c r="C15" s="132" t="s">
        <v>184</v>
      </c>
      <c r="D15" s="166">
        <v>14142000</v>
      </c>
      <c r="E15" s="167"/>
      <c r="F15" s="166">
        <v>12855000</v>
      </c>
      <c r="G15" s="167"/>
      <c r="H15" s="133" t="s">
        <v>205</v>
      </c>
    </row>
    <row r="16" spans="2:8" ht="24.95" customHeight="1">
      <c r="B16" s="211"/>
      <c r="C16" s="101" t="s">
        <v>185</v>
      </c>
      <c r="D16" s="148">
        <v>1414200</v>
      </c>
      <c r="E16" s="168" t="s">
        <v>225</v>
      </c>
      <c r="F16" s="148">
        <v>1285500</v>
      </c>
      <c r="G16" s="168" t="s">
        <v>221</v>
      </c>
      <c r="H16" s="113"/>
    </row>
    <row r="17" spans="2:8" ht="24.95" customHeight="1">
      <c r="B17" s="212"/>
      <c r="C17" s="134" t="s">
        <v>47</v>
      </c>
      <c r="D17" s="169">
        <f>SUM(D15:D16)</f>
        <v>15556200</v>
      </c>
      <c r="E17" s="170">
        <f>D17/D4</f>
        <v>0.44971033430081292</v>
      </c>
      <c r="F17" s="169">
        <f>SUM(F15:F16)</f>
        <v>14140500</v>
      </c>
      <c r="G17" s="170">
        <f>F17/F4</f>
        <v>0.42282011643587802</v>
      </c>
      <c r="H17" s="119"/>
    </row>
    <row r="18" spans="2:8" ht="24.95" customHeight="1">
      <c r="B18" s="100" t="s">
        <v>186</v>
      </c>
      <c r="C18" s="110" t="s">
        <v>186</v>
      </c>
      <c r="D18" s="171">
        <v>2795650</v>
      </c>
      <c r="E18" s="172"/>
      <c r="F18" s="171">
        <v>2795650</v>
      </c>
      <c r="G18" s="189"/>
      <c r="H18" s="130"/>
    </row>
    <row r="19" spans="2:8" ht="24.95" customHeight="1">
      <c r="B19" s="223" t="s">
        <v>70</v>
      </c>
      <c r="C19" s="103" t="s">
        <v>197</v>
      </c>
      <c r="D19" s="173">
        <v>1192010</v>
      </c>
      <c r="E19" s="167"/>
      <c r="F19" s="173">
        <v>1213290</v>
      </c>
      <c r="G19" s="167"/>
      <c r="H19" s="115"/>
    </row>
    <row r="20" spans="2:8" ht="24.95" customHeight="1">
      <c r="B20" s="213"/>
      <c r="C20" s="104" t="s">
        <v>198</v>
      </c>
      <c r="D20" s="174">
        <v>568060</v>
      </c>
      <c r="E20" s="149"/>
      <c r="F20" s="174">
        <v>551080</v>
      </c>
      <c r="G20" s="149"/>
      <c r="H20" s="116"/>
    </row>
    <row r="21" spans="2:8" ht="24.95" customHeight="1">
      <c r="B21" s="213"/>
      <c r="C21" s="105" t="s">
        <v>199</v>
      </c>
      <c r="D21" s="174">
        <v>166690</v>
      </c>
      <c r="E21" s="175"/>
      <c r="F21" s="174">
        <v>120780</v>
      </c>
      <c r="G21" s="175"/>
      <c r="H21" s="117"/>
    </row>
    <row r="22" spans="2:8" ht="24.95" customHeight="1">
      <c r="B22" s="213"/>
      <c r="C22" s="110" t="s">
        <v>47</v>
      </c>
      <c r="D22" s="171">
        <f>SUM(D19:D21)</f>
        <v>1926760</v>
      </c>
      <c r="E22" s="172">
        <f>D22/D4</f>
        <v>5.5700227800969018E-2</v>
      </c>
      <c r="F22" s="190">
        <f>SUM(F19:F21)</f>
        <v>1885150</v>
      </c>
      <c r="G22" s="172">
        <f>F22/F4</f>
        <v>5.636854018592663E-2</v>
      </c>
      <c r="H22" s="118"/>
    </row>
    <row r="23" spans="2:8" ht="24.95" customHeight="1">
      <c r="B23" s="223" t="s">
        <v>72</v>
      </c>
      <c r="C23" s="106" t="s">
        <v>187</v>
      </c>
      <c r="D23" s="176">
        <v>123103</v>
      </c>
      <c r="E23" s="177"/>
      <c r="F23" s="191">
        <v>201480</v>
      </c>
      <c r="G23" s="177"/>
      <c r="H23" s="121"/>
    </row>
    <row r="24" spans="2:8" ht="24.95" customHeight="1">
      <c r="B24" s="213"/>
      <c r="C24" s="107" t="s">
        <v>188</v>
      </c>
      <c r="D24" s="148">
        <v>459700</v>
      </c>
      <c r="E24" s="149"/>
      <c r="F24" s="148">
        <v>397820</v>
      </c>
      <c r="G24" s="149"/>
      <c r="H24" s="121"/>
    </row>
    <row r="25" spans="2:8" ht="24.95" customHeight="1">
      <c r="B25" s="213"/>
      <c r="C25" s="107" t="s">
        <v>217</v>
      </c>
      <c r="D25" s="199">
        <v>178286</v>
      </c>
      <c r="E25" s="149"/>
      <c r="F25" s="148">
        <v>0</v>
      </c>
      <c r="G25" s="149"/>
      <c r="H25" s="121"/>
    </row>
    <row r="26" spans="2:8" ht="24.95" customHeight="1">
      <c r="B26" s="213"/>
      <c r="C26" s="107" t="s">
        <v>189</v>
      </c>
      <c r="D26" s="148">
        <v>137500</v>
      </c>
      <c r="E26" s="149"/>
      <c r="F26" s="192">
        <v>137500</v>
      </c>
      <c r="G26" s="149"/>
      <c r="H26" s="112" t="s">
        <v>206</v>
      </c>
    </row>
    <row r="27" spans="2:8" ht="24.95" customHeight="1">
      <c r="B27" s="213"/>
      <c r="C27" s="107" t="s">
        <v>190</v>
      </c>
      <c r="D27" s="148">
        <v>251900</v>
      </c>
      <c r="E27" s="149"/>
      <c r="F27" s="192">
        <v>251900</v>
      </c>
      <c r="G27" s="149"/>
      <c r="H27" s="112" t="s">
        <v>207</v>
      </c>
    </row>
    <row r="28" spans="2:8" ht="24.95" customHeight="1">
      <c r="B28" s="213"/>
      <c r="C28" s="108" t="s">
        <v>191</v>
      </c>
      <c r="D28" s="148">
        <v>165000</v>
      </c>
      <c r="E28" s="149"/>
      <c r="F28" s="192">
        <v>165000</v>
      </c>
      <c r="G28" s="149"/>
      <c r="H28" s="113"/>
    </row>
    <row r="29" spans="2:8" ht="24.95" customHeight="1">
      <c r="B29" s="213"/>
      <c r="C29" s="107" t="s">
        <v>192</v>
      </c>
      <c r="D29" s="148">
        <v>35200</v>
      </c>
      <c r="E29" s="149"/>
      <c r="F29" s="192">
        <v>35200</v>
      </c>
      <c r="G29" s="149"/>
      <c r="H29" s="113"/>
    </row>
    <row r="30" spans="2:8" ht="24.95" customHeight="1">
      <c r="B30" s="213"/>
      <c r="C30" s="197" t="s">
        <v>230</v>
      </c>
      <c r="D30" s="148">
        <v>6977</v>
      </c>
      <c r="E30" s="149"/>
      <c r="F30" s="192">
        <v>6977</v>
      </c>
      <c r="G30" s="149"/>
      <c r="H30" s="113"/>
    </row>
    <row r="31" spans="2:8" ht="24.95" customHeight="1">
      <c r="B31" s="213"/>
      <c r="C31" s="107" t="s">
        <v>193</v>
      </c>
      <c r="D31" s="148">
        <v>47800</v>
      </c>
      <c r="E31" s="149"/>
      <c r="F31" s="193">
        <v>47800</v>
      </c>
      <c r="G31" s="149"/>
      <c r="H31" s="113"/>
    </row>
    <row r="32" spans="2:8" ht="24.95" customHeight="1">
      <c r="B32" s="213"/>
      <c r="C32" s="107" t="s">
        <v>203</v>
      </c>
      <c r="D32" s="174">
        <v>131000</v>
      </c>
      <c r="E32" s="149"/>
      <c r="F32" s="192">
        <v>131000</v>
      </c>
      <c r="G32" s="149"/>
      <c r="H32" s="113"/>
    </row>
    <row r="33" spans="1:8" ht="24.95" customHeight="1">
      <c r="B33" s="213"/>
      <c r="C33" s="107" t="s">
        <v>194</v>
      </c>
      <c r="D33" s="148">
        <v>100000</v>
      </c>
      <c r="E33" s="149"/>
      <c r="F33" s="150">
        <v>100000</v>
      </c>
      <c r="G33" s="151"/>
      <c r="H33" s="114"/>
    </row>
    <row r="34" spans="1:8" ht="24.95" customHeight="1">
      <c r="A34" t="s">
        <v>202</v>
      </c>
      <c r="B34" s="213"/>
      <c r="C34" s="109" t="s">
        <v>226</v>
      </c>
      <c r="D34" s="148">
        <v>100000</v>
      </c>
      <c r="E34" s="149"/>
      <c r="F34" s="150">
        <v>100000</v>
      </c>
      <c r="G34" s="194"/>
      <c r="H34" s="114"/>
    </row>
    <row r="35" spans="1:8" ht="24.95" customHeight="1">
      <c r="B35" s="213"/>
      <c r="C35" s="109" t="s">
        <v>228</v>
      </c>
      <c r="D35" s="198">
        <v>523850</v>
      </c>
      <c r="E35" s="151"/>
      <c r="F35" s="150">
        <v>684020</v>
      </c>
      <c r="G35" s="194"/>
      <c r="H35" s="114" t="s">
        <v>227</v>
      </c>
    </row>
    <row r="36" spans="1:8" ht="24.95" customHeight="1">
      <c r="B36" s="224"/>
      <c r="C36" s="141" t="s">
        <v>47</v>
      </c>
      <c r="D36" s="179">
        <f>SUM(D23:D35)</f>
        <v>2260316</v>
      </c>
      <c r="E36" s="180"/>
      <c r="F36" s="179">
        <f>SUM(F23:F35)</f>
        <v>2258697</v>
      </c>
      <c r="G36" s="195"/>
      <c r="H36" s="137"/>
    </row>
    <row r="37" spans="1:8" ht="24.95" customHeight="1">
      <c r="B37" s="129" t="s">
        <v>195</v>
      </c>
      <c r="C37" s="142" t="s">
        <v>47</v>
      </c>
      <c r="D37" s="181">
        <v>523850</v>
      </c>
      <c r="E37" s="182"/>
      <c r="F37" s="171">
        <f>F4*2%</f>
        <v>668866</v>
      </c>
      <c r="G37" s="196"/>
      <c r="H37" s="139"/>
    </row>
    <row r="38" spans="1:8" ht="24.95" customHeight="1">
      <c r="B38" s="216" t="s">
        <v>196</v>
      </c>
      <c r="C38" s="217"/>
      <c r="D38" s="183">
        <f>D12-D13</f>
        <v>-52745</v>
      </c>
      <c r="E38" s="184"/>
      <c r="F38" s="183">
        <f>F12-F13</f>
        <v>293628</v>
      </c>
      <c r="G38" s="184"/>
      <c r="H38" s="140" t="s">
        <v>205</v>
      </c>
    </row>
    <row r="40" spans="1:8">
      <c r="G40" s="53"/>
    </row>
    <row r="42" spans="1:8">
      <c r="F42" s="52"/>
    </row>
    <row r="43" spans="1:8">
      <c r="F43" s="52"/>
    </row>
  </sheetData>
  <mergeCells count="13">
    <mergeCell ref="B38:C38"/>
    <mergeCell ref="B4:C4"/>
    <mergeCell ref="B5:B6"/>
    <mergeCell ref="B7:C7"/>
    <mergeCell ref="B12:C12"/>
    <mergeCell ref="B19:B22"/>
    <mergeCell ref="B23:B36"/>
    <mergeCell ref="F1:G1"/>
    <mergeCell ref="B1:C3"/>
    <mergeCell ref="B13:C13"/>
    <mergeCell ref="B15:B17"/>
    <mergeCell ref="B8:B11"/>
    <mergeCell ref="D1:E1"/>
  </mergeCells>
  <phoneticPr fontId="2" type="noConversion"/>
  <pageMargins left="0.7" right="0.7" top="0.75" bottom="0.75" header="0.3" footer="0.3"/>
  <pageSetup paperSize="9" orientation="portrait" r:id="rId1"/>
  <ignoredErrors>
    <ignoredError sqref="F38 E7" formula="1"/>
    <ignoredError sqref="F17" formula="1" formulaRange="1"/>
    <ignoredError sqref="D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3"/>
  <sheetViews>
    <sheetView workbookViewId="0">
      <selection activeCell="J10" sqref="J10"/>
    </sheetView>
  </sheetViews>
  <sheetFormatPr defaultRowHeight="16.5"/>
  <cols>
    <col min="1" max="1" width="6.75" customWidth="1"/>
    <col min="2" max="2" width="17.5" bestFit="1" customWidth="1"/>
    <col min="3" max="3" width="13.125" bestFit="1" customWidth="1"/>
    <col min="4" max="4" width="14.375" bestFit="1" customWidth="1"/>
    <col min="5" max="5" width="14" bestFit="1" customWidth="1"/>
    <col min="6" max="6" width="42.25" bestFit="1" customWidth="1"/>
    <col min="7" max="7" width="10.75" bestFit="1" customWidth="1"/>
  </cols>
  <sheetData>
    <row r="1" spans="2:6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spans="2:6">
      <c r="B2" s="4" t="s">
        <v>5</v>
      </c>
      <c r="C2" s="5"/>
      <c r="D2" s="5">
        <v>60</v>
      </c>
      <c r="E2" s="5"/>
      <c r="F2" s="6"/>
    </row>
    <row r="3" spans="2:6">
      <c r="B3" s="4" t="s">
        <v>6</v>
      </c>
      <c r="C3" s="5" t="s">
        <v>7</v>
      </c>
      <c r="D3" s="5" t="s">
        <v>8</v>
      </c>
      <c r="E3" s="5" t="s">
        <v>9</v>
      </c>
      <c r="F3" s="6" t="s">
        <v>10</v>
      </c>
    </row>
    <row r="4" spans="2:6">
      <c r="B4" s="4"/>
      <c r="C4" s="7" t="s">
        <v>11</v>
      </c>
      <c r="D4" s="5" t="s">
        <v>12</v>
      </c>
      <c r="E4" s="5" t="s">
        <v>13</v>
      </c>
      <c r="F4" s="6" t="s">
        <v>14</v>
      </c>
    </row>
    <row r="5" spans="2:6">
      <c r="B5" s="8">
        <f>D5*E5*F5</f>
        <v>1260000</v>
      </c>
      <c r="C5" s="5">
        <v>3</v>
      </c>
      <c r="D5" s="5">
        <f>D2*70%</f>
        <v>42</v>
      </c>
      <c r="E5" s="5">
        <v>4</v>
      </c>
      <c r="F5" s="9">
        <f>[1]매출구성!H26</f>
        <v>7500</v>
      </c>
    </row>
    <row r="6" spans="2:6">
      <c r="B6" s="4" t="s">
        <v>15</v>
      </c>
      <c r="C6" s="7" t="s">
        <v>16</v>
      </c>
      <c r="D6" s="5" t="s">
        <v>17</v>
      </c>
      <c r="E6" s="5"/>
      <c r="F6" s="6"/>
    </row>
    <row r="7" spans="2:6">
      <c r="B7" s="4"/>
      <c r="C7" s="7" t="s">
        <v>18</v>
      </c>
      <c r="D7" s="5" t="s">
        <v>9</v>
      </c>
      <c r="E7" s="5"/>
      <c r="F7" s="6" t="s">
        <v>19</v>
      </c>
    </row>
    <row r="8" spans="2:6" ht="17.25" thickBot="1">
      <c r="B8" s="10"/>
      <c r="C8" s="11" t="s">
        <v>20</v>
      </c>
      <c r="D8" s="12" t="s">
        <v>21</v>
      </c>
      <c r="E8" s="12"/>
      <c r="F8" s="13"/>
    </row>
    <row r="9" spans="2:6">
      <c r="C9" s="14"/>
    </row>
    <row r="10" spans="2:6">
      <c r="B10" s="15" t="s">
        <v>22</v>
      </c>
      <c r="C10" s="16" t="s">
        <v>23</v>
      </c>
    </row>
    <row r="11" spans="2:6" ht="17.25">
      <c r="B11" s="17" t="s">
        <v>24</v>
      </c>
      <c r="C11" s="18" t="s">
        <v>25</v>
      </c>
      <c r="D11" s="18" t="s">
        <v>26</v>
      </c>
      <c r="E11" s="18">
        <f>B5</f>
        <v>1260000</v>
      </c>
      <c r="F11" s="19" t="s">
        <v>27</v>
      </c>
    </row>
    <row r="12" spans="2:6" ht="17.25" thickBot="1">
      <c r="B12" s="233" t="s">
        <v>28</v>
      </c>
      <c r="C12" s="234"/>
      <c r="D12" s="20" t="s">
        <v>29</v>
      </c>
      <c r="E12" s="21">
        <v>30</v>
      </c>
      <c r="F12" s="22" t="s">
        <v>30</v>
      </c>
    </row>
    <row r="13" spans="2:6" ht="17.25" thickTop="1">
      <c r="B13" s="235" t="s">
        <v>31</v>
      </c>
      <c r="C13" s="235"/>
      <c r="D13" s="23">
        <f>E11*E12</f>
        <v>37800000</v>
      </c>
      <c r="E13" s="24">
        <v>1</v>
      </c>
      <c r="F13" s="25"/>
    </row>
    <row r="14" spans="2:6">
      <c r="B14" s="236" t="s">
        <v>32</v>
      </c>
      <c r="C14" s="26" t="s">
        <v>33</v>
      </c>
      <c r="D14" s="27">
        <f>$D$13*E14</f>
        <v>37800000</v>
      </c>
      <c r="E14" s="28">
        <v>1</v>
      </c>
      <c r="F14" s="29"/>
    </row>
    <row r="15" spans="2:6">
      <c r="B15" s="236"/>
      <c r="C15" s="26" t="s">
        <v>34</v>
      </c>
      <c r="D15" s="27"/>
      <c r="E15" s="28"/>
      <c r="F15" s="29"/>
    </row>
    <row r="16" spans="2:6">
      <c r="B16" s="236"/>
      <c r="C16" s="26" t="s">
        <v>35</v>
      </c>
      <c r="D16" s="27"/>
      <c r="E16" s="28"/>
      <c r="F16" s="29"/>
    </row>
    <row r="17" spans="2:6" ht="17.45" customHeight="1">
      <c r="B17" s="225" t="s">
        <v>36</v>
      </c>
      <c r="C17" s="225"/>
      <c r="D17" s="30">
        <f>D18+D20</f>
        <v>12474000</v>
      </c>
      <c r="E17" s="31">
        <f>D17/D13</f>
        <v>0.33</v>
      </c>
      <c r="F17" s="32"/>
    </row>
    <row r="18" spans="2:6">
      <c r="B18" s="236" t="s">
        <v>37</v>
      </c>
      <c r="C18" s="33" t="s">
        <v>38</v>
      </c>
      <c r="D18" s="34">
        <f>D13*E18</f>
        <v>10206000</v>
      </c>
      <c r="E18" s="35">
        <v>0.27</v>
      </c>
      <c r="F18" s="36" t="s">
        <v>39</v>
      </c>
    </row>
    <row r="19" spans="2:6">
      <c r="B19" s="236"/>
      <c r="C19" s="33" t="s">
        <v>40</v>
      </c>
      <c r="D19" s="34"/>
      <c r="E19" s="35"/>
      <c r="F19" s="36" t="s">
        <v>41</v>
      </c>
    </row>
    <row r="20" spans="2:6">
      <c r="B20" s="236"/>
      <c r="C20" s="26" t="s">
        <v>42</v>
      </c>
      <c r="D20" s="37">
        <f>$D$13*E20</f>
        <v>2268000</v>
      </c>
      <c r="E20" s="28">
        <v>0.06</v>
      </c>
      <c r="F20" s="29" t="s">
        <v>43</v>
      </c>
    </row>
    <row r="21" spans="2:6">
      <c r="B21" s="236" t="s">
        <v>44</v>
      </c>
      <c r="C21" s="236"/>
      <c r="D21" s="37">
        <f>$D$13*E21</f>
        <v>25325999.999999996</v>
      </c>
      <c r="E21" s="28">
        <f>E13-E17</f>
        <v>0.66999999999999993</v>
      </c>
      <c r="F21" s="29"/>
    </row>
    <row r="22" spans="2:6" ht="17.45" customHeight="1">
      <c r="B22" s="225" t="s">
        <v>45</v>
      </c>
      <c r="C22" s="225"/>
      <c r="D22" s="30">
        <f>D23++D24+D32+D33+D34+D35+D36+D37</f>
        <v>23418000</v>
      </c>
      <c r="E22" s="31">
        <f>D22/D13</f>
        <v>0.61952380952380948</v>
      </c>
      <c r="F22" s="32"/>
    </row>
    <row r="23" spans="2:6">
      <c r="B23" s="33" t="s">
        <v>46</v>
      </c>
      <c r="C23" s="33" t="s">
        <v>47</v>
      </c>
      <c r="D23" s="38">
        <v>125000</v>
      </c>
      <c r="E23" s="35">
        <f>D23/D14</f>
        <v>3.3068783068783067E-3</v>
      </c>
      <c r="F23" s="36" t="s">
        <v>48</v>
      </c>
    </row>
    <row r="24" spans="2:6">
      <c r="B24" s="33" t="s">
        <v>49</v>
      </c>
      <c r="C24" s="33" t="s">
        <v>50</v>
      </c>
      <c r="D24" s="38">
        <f>13000*16</f>
        <v>208000</v>
      </c>
      <c r="E24" s="35">
        <f>D24/D13</f>
        <v>5.5026455026455029E-3</v>
      </c>
      <c r="F24" s="36" t="s">
        <v>51</v>
      </c>
    </row>
    <row r="25" spans="2:6">
      <c r="B25" s="226" t="s">
        <v>52</v>
      </c>
      <c r="C25" s="229" t="s">
        <v>53</v>
      </c>
      <c r="D25" s="27">
        <v>3500000</v>
      </c>
      <c r="E25" s="39" t="s">
        <v>54</v>
      </c>
      <c r="F25" s="40" t="s">
        <v>55</v>
      </c>
    </row>
    <row r="26" spans="2:6">
      <c r="B26" s="227"/>
      <c r="C26" s="230"/>
      <c r="D26" s="27">
        <v>3000000</v>
      </c>
      <c r="E26" s="39" t="s">
        <v>56</v>
      </c>
      <c r="F26" s="29"/>
    </row>
    <row r="27" spans="2:6">
      <c r="B27" s="227"/>
      <c r="C27" s="230"/>
      <c r="D27" s="27">
        <v>3000000</v>
      </c>
      <c r="E27" s="39" t="s">
        <v>57</v>
      </c>
      <c r="F27" s="29"/>
    </row>
    <row r="28" spans="2:6">
      <c r="B28" s="227"/>
      <c r="C28" s="231"/>
      <c r="D28" s="27">
        <v>2800000</v>
      </c>
      <c r="E28" s="39" t="s">
        <v>58</v>
      </c>
      <c r="F28" s="40" t="s">
        <v>55</v>
      </c>
    </row>
    <row r="29" spans="2:6">
      <c r="B29" s="227"/>
      <c r="C29" s="41" t="s">
        <v>59</v>
      </c>
      <c r="D29" s="27">
        <f>12000*3*4*2*4</f>
        <v>1152000</v>
      </c>
      <c r="E29" s="39" t="s">
        <v>60</v>
      </c>
      <c r="F29" s="40" t="s">
        <v>61</v>
      </c>
    </row>
    <row r="30" spans="2:6">
      <c r="B30" s="227"/>
      <c r="C30" s="42" t="s">
        <v>62</v>
      </c>
      <c r="D30" s="27">
        <f>12000*4*30</f>
        <v>1440000</v>
      </c>
      <c r="E30" s="39" t="s">
        <v>63</v>
      </c>
      <c r="F30" s="29" t="s">
        <v>64</v>
      </c>
    </row>
    <row r="31" spans="2:6">
      <c r="B31" s="227"/>
      <c r="C31" s="42" t="s">
        <v>65</v>
      </c>
      <c r="D31" s="27">
        <v>1230000</v>
      </c>
      <c r="E31" s="39" t="s">
        <v>66</v>
      </c>
      <c r="F31" s="29"/>
    </row>
    <row r="32" spans="2:6">
      <c r="B32" s="228"/>
      <c r="C32" s="43" t="s">
        <v>47</v>
      </c>
      <c r="D32" s="44">
        <f>SUM(D25:D31)</f>
        <v>16122000</v>
      </c>
      <c r="E32" s="28">
        <f>D32/$D$13</f>
        <v>0.4265079365079365</v>
      </c>
      <c r="F32" s="29" t="s">
        <v>67</v>
      </c>
    </row>
    <row r="33" spans="2:6">
      <c r="B33" s="45" t="s">
        <v>68</v>
      </c>
      <c r="C33" s="43" t="s">
        <v>68</v>
      </c>
      <c r="D33" s="44">
        <f>2500000*1.1</f>
        <v>2750000</v>
      </c>
      <c r="E33" s="28">
        <f>D33/$D$13</f>
        <v>7.2751322751322747E-2</v>
      </c>
      <c r="F33" s="46" t="s">
        <v>69</v>
      </c>
    </row>
    <row r="34" spans="2:6">
      <c r="B34" s="43" t="s">
        <v>70</v>
      </c>
      <c r="C34" s="43" t="s">
        <v>47</v>
      </c>
      <c r="D34" s="44">
        <f>$D$13*E34</f>
        <v>1512000</v>
      </c>
      <c r="E34" s="47">
        <v>0.04</v>
      </c>
      <c r="F34" s="29" t="s">
        <v>71</v>
      </c>
    </row>
    <row r="35" spans="2:6">
      <c r="B35" s="43" t="s">
        <v>72</v>
      </c>
      <c r="C35" s="43" t="s">
        <v>47</v>
      </c>
      <c r="D35" s="44">
        <f t="shared" ref="D35:D36" si="0">$D$13*E35</f>
        <v>945000</v>
      </c>
      <c r="E35" s="47">
        <v>2.5000000000000001E-2</v>
      </c>
      <c r="F35" s="29" t="s">
        <v>73</v>
      </c>
    </row>
    <row r="36" spans="2:6">
      <c r="B36" s="43" t="s">
        <v>74</v>
      </c>
      <c r="C36" s="43" t="s">
        <v>47</v>
      </c>
      <c r="D36" s="44">
        <f t="shared" si="0"/>
        <v>756000</v>
      </c>
      <c r="E36" s="47">
        <v>0.02</v>
      </c>
      <c r="F36" s="29" t="s">
        <v>75</v>
      </c>
    </row>
    <row r="37" spans="2:6">
      <c r="B37" s="43" t="s">
        <v>76</v>
      </c>
      <c r="C37" s="43" t="s">
        <v>47</v>
      </c>
      <c r="D37" s="44">
        <v>1000000</v>
      </c>
      <c r="E37" s="47"/>
      <c r="F37" s="29" t="s">
        <v>77</v>
      </c>
    </row>
    <row r="38" spans="2:6">
      <c r="B38" s="232" t="s">
        <v>78</v>
      </c>
      <c r="C38" s="232"/>
      <c r="D38" s="48">
        <f>D21-D22</f>
        <v>1907999.9999999963</v>
      </c>
      <c r="E38" s="49">
        <f>D38/D13</f>
        <v>5.0476190476190376E-2</v>
      </c>
      <c r="F38" s="50" t="s">
        <v>55</v>
      </c>
    </row>
    <row r="39" spans="2:6">
      <c r="D39" s="51"/>
    </row>
    <row r="40" spans="2:6">
      <c r="D40" s="52"/>
      <c r="E40" s="53"/>
    </row>
    <row r="42" spans="2:6">
      <c r="D42" s="52"/>
    </row>
    <row r="43" spans="2:6">
      <c r="D43" s="52"/>
    </row>
  </sheetData>
  <mergeCells count="10">
    <mergeCell ref="B22:C22"/>
    <mergeCell ref="B25:B32"/>
    <mergeCell ref="C25:C28"/>
    <mergeCell ref="B38:C38"/>
    <mergeCell ref="B12:C12"/>
    <mergeCell ref="B13:C13"/>
    <mergeCell ref="B14:B16"/>
    <mergeCell ref="B17:C17"/>
    <mergeCell ref="B18:B20"/>
    <mergeCell ref="B21:C2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opLeftCell="A25" workbookViewId="0">
      <selection activeCell="G39" sqref="G39"/>
    </sheetView>
  </sheetViews>
  <sheetFormatPr defaultRowHeight="16.5"/>
  <cols>
    <col min="1" max="1" width="3.375" bestFit="1" customWidth="1"/>
    <col min="2" max="2" width="20.75" customWidth="1"/>
    <col min="3" max="3" width="13.875" bestFit="1" customWidth="1"/>
    <col min="4" max="6" width="10.75" customWidth="1"/>
    <col min="7" max="7" width="32.875" bestFit="1" customWidth="1"/>
    <col min="8" max="11" width="10.75" customWidth="1"/>
  </cols>
  <sheetData>
    <row r="1" spans="1:11">
      <c r="A1" s="237" t="s">
        <v>87</v>
      </c>
      <c r="B1" s="239" t="s">
        <v>88</v>
      </c>
      <c r="C1" s="240"/>
      <c r="D1" s="240"/>
      <c r="E1" s="240"/>
      <c r="F1" s="241"/>
      <c r="G1" s="239" t="s">
        <v>89</v>
      </c>
      <c r="H1" s="240"/>
      <c r="I1" s="240"/>
      <c r="J1" s="240"/>
      <c r="K1" s="241"/>
    </row>
    <row r="2" spans="1:11">
      <c r="A2" s="238"/>
      <c r="B2" s="54" t="s">
        <v>90</v>
      </c>
      <c r="C2" s="55" t="s">
        <v>91</v>
      </c>
      <c r="D2" s="80" t="s">
        <v>92</v>
      </c>
      <c r="E2" s="81" t="s">
        <v>93</v>
      </c>
      <c r="F2" s="56" t="s">
        <v>94</v>
      </c>
      <c r="G2" s="54" t="s">
        <v>95</v>
      </c>
      <c r="H2" s="55" t="s">
        <v>91</v>
      </c>
      <c r="I2" s="81" t="s">
        <v>92</v>
      </c>
      <c r="J2" s="56" t="s">
        <v>93</v>
      </c>
      <c r="K2" s="82" t="s">
        <v>94</v>
      </c>
    </row>
    <row r="3" spans="1:11">
      <c r="A3" s="57">
        <v>1</v>
      </c>
      <c r="B3" s="58" t="s">
        <v>96</v>
      </c>
      <c r="C3" s="59" t="s">
        <v>97</v>
      </c>
      <c r="D3" s="83">
        <v>10</v>
      </c>
      <c r="E3" s="84">
        <v>29040</v>
      </c>
      <c r="F3" s="85">
        <f>D3*E3</f>
        <v>290400</v>
      </c>
      <c r="G3" s="86" t="s">
        <v>98</v>
      </c>
      <c r="H3" s="60" t="s">
        <v>99</v>
      </c>
      <c r="I3" s="61">
        <v>3</v>
      </c>
      <c r="J3" s="84">
        <v>35000</v>
      </c>
      <c r="K3" s="85">
        <f>I3*J3</f>
        <v>105000</v>
      </c>
    </row>
    <row r="4" spans="1:11">
      <c r="A4" s="62">
        <v>2</v>
      </c>
      <c r="B4" s="63" t="s">
        <v>100</v>
      </c>
      <c r="C4" s="60" t="s">
        <v>79</v>
      </c>
      <c r="D4" s="64">
        <v>3</v>
      </c>
      <c r="E4" s="65">
        <v>33550</v>
      </c>
      <c r="F4" s="87">
        <f>D4*E4</f>
        <v>100650</v>
      </c>
      <c r="G4" s="88" t="s">
        <v>101</v>
      </c>
      <c r="H4" s="66" t="s">
        <v>102</v>
      </c>
      <c r="I4" s="65">
        <v>10</v>
      </c>
      <c r="J4" s="89">
        <v>5750</v>
      </c>
      <c r="K4" s="67">
        <f t="shared" ref="K4:K5" si="0">I4*J4</f>
        <v>57500</v>
      </c>
    </row>
    <row r="5" spans="1:11">
      <c r="A5" s="62">
        <v>3</v>
      </c>
      <c r="B5" s="68" t="s">
        <v>103</v>
      </c>
      <c r="C5" s="66" t="s">
        <v>104</v>
      </c>
      <c r="D5" s="64">
        <v>10</v>
      </c>
      <c r="E5" s="65">
        <v>11770</v>
      </c>
      <c r="F5" s="87">
        <f t="shared" ref="F5:F28" si="1">D5*E5</f>
        <v>117700</v>
      </c>
      <c r="G5" s="88" t="s">
        <v>105</v>
      </c>
      <c r="H5" s="66" t="s">
        <v>106</v>
      </c>
      <c r="I5" s="65">
        <v>1</v>
      </c>
      <c r="J5" s="89">
        <v>60610</v>
      </c>
      <c r="K5" s="67">
        <f t="shared" si="0"/>
        <v>60610</v>
      </c>
    </row>
    <row r="6" spans="1:11">
      <c r="A6" s="62">
        <v>4</v>
      </c>
      <c r="B6" s="68" t="s">
        <v>107</v>
      </c>
      <c r="C6" s="66" t="s">
        <v>80</v>
      </c>
      <c r="D6" s="64">
        <v>10</v>
      </c>
      <c r="E6" s="65">
        <v>23826</v>
      </c>
      <c r="F6" s="87">
        <f t="shared" si="1"/>
        <v>238260</v>
      </c>
      <c r="G6" s="88" t="s">
        <v>108</v>
      </c>
      <c r="H6" s="66" t="s">
        <v>109</v>
      </c>
      <c r="I6" s="65">
        <v>10</v>
      </c>
      <c r="J6" s="89">
        <v>6900</v>
      </c>
      <c r="K6" s="67">
        <f>I6*J6</f>
        <v>69000</v>
      </c>
    </row>
    <row r="7" spans="1:11">
      <c r="A7" s="62">
        <v>5</v>
      </c>
      <c r="B7" s="69" t="s">
        <v>110</v>
      </c>
      <c r="C7" s="66" t="s">
        <v>109</v>
      </c>
      <c r="D7" s="64">
        <v>20</v>
      </c>
      <c r="E7" s="65">
        <v>9999</v>
      </c>
      <c r="F7" s="87">
        <f t="shared" si="1"/>
        <v>199980</v>
      </c>
      <c r="G7" s="88" t="s">
        <v>111</v>
      </c>
      <c r="H7" s="66" t="s">
        <v>112</v>
      </c>
      <c r="I7" s="65">
        <v>3</v>
      </c>
      <c r="J7" s="89">
        <f>17550</f>
        <v>17550</v>
      </c>
      <c r="K7" s="67">
        <f>I7*J7</f>
        <v>52650</v>
      </c>
    </row>
    <row r="8" spans="1:11">
      <c r="A8" s="62">
        <v>6</v>
      </c>
      <c r="B8" s="69" t="s">
        <v>113</v>
      </c>
      <c r="C8" s="66" t="s">
        <v>114</v>
      </c>
      <c r="D8" s="64">
        <v>5</v>
      </c>
      <c r="E8" s="65">
        <v>11803</v>
      </c>
      <c r="F8" s="87">
        <f t="shared" si="1"/>
        <v>59015</v>
      </c>
      <c r="G8" s="88" t="s">
        <v>115</v>
      </c>
      <c r="H8" s="66" t="s">
        <v>112</v>
      </c>
      <c r="I8" s="65">
        <v>3</v>
      </c>
      <c r="J8" s="89">
        <v>19520</v>
      </c>
      <c r="K8" s="67">
        <f>I8*J8</f>
        <v>58560</v>
      </c>
    </row>
    <row r="9" spans="1:11">
      <c r="A9" s="62">
        <v>7</v>
      </c>
      <c r="B9" s="69" t="s">
        <v>116</v>
      </c>
      <c r="C9" s="66" t="s">
        <v>117</v>
      </c>
      <c r="D9" s="64">
        <v>3</v>
      </c>
      <c r="E9" s="65">
        <v>23100</v>
      </c>
      <c r="F9" s="87">
        <f t="shared" si="1"/>
        <v>69300</v>
      </c>
      <c r="G9" s="88"/>
      <c r="H9" s="66"/>
      <c r="I9" s="65"/>
      <c r="J9" s="89"/>
      <c r="K9" s="90"/>
    </row>
    <row r="10" spans="1:11">
      <c r="A10" s="62">
        <v>8</v>
      </c>
      <c r="B10" s="69" t="s">
        <v>118</v>
      </c>
      <c r="C10" s="66" t="s">
        <v>119</v>
      </c>
      <c r="D10" s="64">
        <v>2</v>
      </c>
      <c r="E10" s="65">
        <v>39557</v>
      </c>
      <c r="F10" s="87">
        <f t="shared" si="1"/>
        <v>79114</v>
      </c>
      <c r="G10" s="88"/>
      <c r="H10" s="66"/>
      <c r="I10" s="65"/>
      <c r="J10" s="89"/>
      <c r="K10" s="90"/>
    </row>
    <row r="11" spans="1:11">
      <c r="A11" s="62">
        <v>9</v>
      </c>
      <c r="B11" s="69" t="s">
        <v>81</v>
      </c>
      <c r="C11" s="66" t="s">
        <v>120</v>
      </c>
      <c r="D11" s="64">
        <v>5</v>
      </c>
      <c r="E11" s="65">
        <v>11440</v>
      </c>
      <c r="F11" s="87">
        <f t="shared" si="1"/>
        <v>57200</v>
      </c>
      <c r="G11" s="88"/>
      <c r="H11" s="66"/>
      <c r="I11" s="65"/>
      <c r="J11" s="89"/>
      <c r="K11" s="90"/>
    </row>
    <row r="12" spans="1:11">
      <c r="A12" s="62">
        <v>10</v>
      </c>
      <c r="B12" s="69" t="s">
        <v>121</v>
      </c>
      <c r="C12" s="66" t="s">
        <v>82</v>
      </c>
      <c r="D12" s="64">
        <v>5</v>
      </c>
      <c r="E12" s="65">
        <v>11495</v>
      </c>
      <c r="F12" s="87">
        <f t="shared" si="1"/>
        <v>57475</v>
      </c>
      <c r="G12" s="88"/>
      <c r="H12" s="66"/>
      <c r="I12" s="65"/>
      <c r="J12" s="89"/>
      <c r="K12" s="90"/>
    </row>
    <row r="13" spans="1:11">
      <c r="A13" s="62">
        <v>11</v>
      </c>
      <c r="B13" s="70" t="s">
        <v>122</v>
      </c>
      <c r="C13" s="66" t="s">
        <v>123</v>
      </c>
      <c r="D13" s="64">
        <v>3</v>
      </c>
      <c r="E13" s="65">
        <v>29000</v>
      </c>
      <c r="F13" s="87">
        <f t="shared" si="1"/>
        <v>87000</v>
      </c>
      <c r="G13" s="88"/>
      <c r="H13" s="66"/>
      <c r="I13" s="65"/>
      <c r="J13" s="89"/>
      <c r="K13" s="90"/>
    </row>
    <row r="14" spans="1:11">
      <c r="A14" s="62">
        <v>12</v>
      </c>
      <c r="B14" s="68" t="s">
        <v>124</v>
      </c>
      <c r="C14" s="66" t="s">
        <v>125</v>
      </c>
      <c r="D14" s="64">
        <v>3</v>
      </c>
      <c r="E14" s="65">
        <v>7755</v>
      </c>
      <c r="F14" s="87">
        <f t="shared" si="1"/>
        <v>23265</v>
      </c>
      <c r="G14" s="88"/>
      <c r="H14" s="66"/>
      <c r="I14" s="65"/>
      <c r="J14" s="89"/>
      <c r="K14" s="90"/>
    </row>
    <row r="15" spans="1:11">
      <c r="A15" s="62">
        <v>13</v>
      </c>
      <c r="B15" s="69" t="s">
        <v>126</v>
      </c>
      <c r="C15" s="71" t="s">
        <v>127</v>
      </c>
      <c r="D15" s="64">
        <v>5</v>
      </c>
      <c r="E15" s="65">
        <v>7260</v>
      </c>
      <c r="F15" s="87">
        <f t="shared" si="1"/>
        <v>36300</v>
      </c>
      <c r="G15" s="88"/>
      <c r="H15" s="66"/>
      <c r="I15" s="65"/>
      <c r="J15" s="89"/>
      <c r="K15" s="90"/>
    </row>
    <row r="16" spans="1:11">
      <c r="A16" s="62">
        <v>14</v>
      </c>
      <c r="B16" s="69" t="s">
        <v>128</v>
      </c>
      <c r="C16" s="66" t="s">
        <v>109</v>
      </c>
      <c r="D16" s="64">
        <v>2</v>
      </c>
      <c r="E16" s="65">
        <v>8910</v>
      </c>
      <c r="F16" s="87">
        <f t="shared" si="1"/>
        <v>17820</v>
      </c>
      <c r="G16" s="88"/>
      <c r="H16" s="66"/>
      <c r="I16" s="72" t="s">
        <v>129</v>
      </c>
      <c r="J16" s="72"/>
      <c r="K16" s="73">
        <f>SUM(K3:K15)</f>
        <v>403320</v>
      </c>
    </row>
    <row r="17" spans="1:11">
      <c r="A17" s="62">
        <v>15</v>
      </c>
      <c r="B17" s="69" t="s">
        <v>130</v>
      </c>
      <c r="C17" s="66" t="s">
        <v>131</v>
      </c>
      <c r="D17" s="64">
        <v>1</v>
      </c>
      <c r="E17" s="65">
        <v>11000</v>
      </c>
      <c r="F17" s="87">
        <f t="shared" si="1"/>
        <v>11000</v>
      </c>
      <c r="G17" s="239" t="s">
        <v>132</v>
      </c>
      <c r="H17" s="240"/>
      <c r="I17" s="240"/>
      <c r="J17" s="240"/>
      <c r="K17" s="241"/>
    </row>
    <row r="18" spans="1:11">
      <c r="A18" s="62">
        <v>16</v>
      </c>
      <c r="B18" s="68" t="s">
        <v>133</v>
      </c>
      <c r="C18" s="66" t="s">
        <v>134</v>
      </c>
      <c r="D18" s="64">
        <v>1</v>
      </c>
      <c r="E18" s="65">
        <v>5440</v>
      </c>
      <c r="F18" s="87">
        <f t="shared" si="1"/>
        <v>5440</v>
      </c>
      <c r="G18" s="54" t="s">
        <v>90</v>
      </c>
      <c r="H18" s="55" t="s">
        <v>91</v>
      </c>
      <c r="I18" s="81" t="s">
        <v>92</v>
      </c>
      <c r="J18" s="56" t="s">
        <v>93</v>
      </c>
      <c r="K18" s="82" t="s">
        <v>94</v>
      </c>
    </row>
    <row r="19" spans="1:11">
      <c r="A19" s="62">
        <v>17</v>
      </c>
      <c r="B19" s="69" t="s">
        <v>135</v>
      </c>
      <c r="C19" s="66" t="s">
        <v>136</v>
      </c>
      <c r="D19" s="64">
        <v>3</v>
      </c>
      <c r="E19" s="65">
        <v>16500</v>
      </c>
      <c r="F19" s="87">
        <f t="shared" si="1"/>
        <v>49500</v>
      </c>
      <c r="G19" s="91" t="s">
        <v>137</v>
      </c>
      <c r="H19" s="66" t="s">
        <v>138</v>
      </c>
      <c r="I19" s="89"/>
      <c r="J19" s="65"/>
      <c r="K19" s="92">
        <f>I19*J19</f>
        <v>0</v>
      </c>
    </row>
    <row r="20" spans="1:11">
      <c r="A20" s="62">
        <v>18</v>
      </c>
      <c r="B20" s="69" t="s">
        <v>139</v>
      </c>
      <c r="C20" s="66" t="s">
        <v>140</v>
      </c>
      <c r="D20" s="64">
        <v>1</v>
      </c>
      <c r="E20" s="65">
        <v>17500</v>
      </c>
      <c r="F20" s="87">
        <f t="shared" si="1"/>
        <v>17500</v>
      </c>
      <c r="G20" s="91" t="s">
        <v>141</v>
      </c>
      <c r="H20" s="66" t="s">
        <v>142</v>
      </c>
      <c r="I20" s="89"/>
      <c r="J20" s="65"/>
      <c r="K20" s="67">
        <f t="shared" ref="K20:K34" si="2">I20*J20</f>
        <v>0</v>
      </c>
    </row>
    <row r="21" spans="1:11">
      <c r="A21" s="62">
        <v>19</v>
      </c>
      <c r="B21" s="69" t="s">
        <v>143</v>
      </c>
      <c r="C21" s="66" t="s">
        <v>109</v>
      </c>
      <c r="D21" s="64">
        <v>2</v>
      </c>
      <c r="E21" s="65">
        <v>9460</v>
      </c>
      <c r="F21" s="87">
        <f t="shared" si="1"/>
        <v>18920</v>
      </c>
      <c r="G21" s="88" t="s">
        <v>144</v>
      </c>
      <c r="H21" s="66" t="s">
        <v>145</v>
      </c>
      <c r="I21" s="89"/>
      <c r="J21" s="65"/>
      <c r="K21" s="67">
        <f t="shared" si="2"/>
        <v>0</v>
      </c>
    </row>
    <row r="22" spans="1:11">
      <c r="A22" s="62">
        <v>20</v>
      </c>
      <c r="B22" s="69" t="s">
        <v>146</v>
      </c>
      <c r="C22" s="66" t="s">
        <v>147</v>
      </c>
      <c r="D22" s="64">
        <v>1</v>
      </c>
      <c r="E22" s="65">
        <v>18920</v>
      </c>
      <c r="F22" s="87">
        <f t="shared" si="1"/>
        <v>18920</v>
      </c>
      <c r="G22" s="88" t="s">
        <v>148</v>
      </c>
      <c r="H22" s="66" t="s">
        <v>149</v>
      </c>
      <c r="I22" s="65"/>
      <c r="J22" s="65"/>
      <c r="K22" s="67">
        <f t="shared" si="2"/>
        <v>0</v>
      </c>
    </row>
    <row r="23" spans="1:11">
      <c r="A23" s="62">
        <v>21</v>
      </c>
      <c r="B23" s="69" t="s">
        <v>150</v>
      </c>
      <c r="C23" s="66" t="s">
        <v>151</v>
      </c>
      <c r="D23" s="64">
        <v>20</v>
      </c>
      <c r="E23" s="65">
        <v>3520</v>
      </c>
      <c r="F23" s="87">
        <f t="shared" si="1"/>
        <v>70400</v>
      </c>
      <c r="G23" s="88" t="s">
        <v>152</v>
      </c>
      <c r="H23" s="66" t="s">
        <v>142</v>
      </c>
      <c r="I23" s="65"/>
      <c r="J23" s="65"/>
      <c r="K23" s="67">
        <f t="shared" si="2"/>
        <v>0</v>
      </c>
    </row>
    <row r="24" spans="1:11">
      <c r="A24" s="62">
        <v>22</v>
      </c>
      <c r="B24" s="69" t="s">
        <v>153</v>
      </c>
      <c r="C24" s="66" t="s">
        <v>154</v>
      </c>
      <c r="D24" s="64">
        <v>1</v>
      </c>
      <c r="E24" s="65">
        <v>4862</v>
      </c>
      <c r="F24" s="87">
        <f t="shared" si="1"/>
        <v>4862</v>
      </c>
      <c r="G24" s="88" t="s">
        <v>155</v>
      </c>
      <c r="H24" s="66" t="s">
        <v>142</v>
      </c>
      <c r="I24" s="65"/>
      <c r="J24" s="65"/>
      <c r="K24" s="67">
        <f t="shared" si="2"/>
        <v>0</v>
      </c>
    </row>
    <row r="25" spans="1:11">
      <c r="A25" s="62">
        <v>23</v>
      </c>
      <c r="B25" s="74" t="s">
        <v>156</v>
      </c>
      <c r="C25" s="75" t="s">
        <v>83</v>
      </c>
      <c r="D25" s="76">
        <v>3</v>
      </c>
      <c r="E25" s="93">
        <v>50600</v>
      </c>
      <c r="F25" s="87">
        <f t="shared" si="1"/>
        <v>151800</v>
      </c>
      <c r="G25" s="88" t="s">
        <v>157</v>
      </c>
      <c r="H25" s="66" t="s">
        <v>138</v>
      </c>
      <c r="I25" s="65"/>
      <c r="J25" s="65"/>
      <c r="K25" s="67">
        <f t="shared" si="2"/>
        <v>0</v>
      </c>
    </row>
    <row r="26" spans="1:11">
      <c r="A26" s="62">
        <v>24</v>
      </c>
      <c r="B26" s="74" t="s">
        <v>158</v>
      </c>
      <c r="C26" s="75" t="s">
        <v>159</v>
      </c>
      <c r="D26" s="76">
        <v>3</v>
      </c>
      <c r="E26" s="93">
        <v>8580</v>
      </c>
      <c r="F26" s="87">
        <f t="shared" si="1"/>
        <v>25740</v>
      </c>
      <c r="G26" s="88" t="s">
        <v>160</v>
      </c>
      <c r="H26" s="66" t="s">
        <v>142</v>
      </c>
      <c r="I26" s="65"/>
      <c r="J26" s="65"/>
      <c r="K26" s="67">
        <f t="shared" si="2"/>
        <v>0</v>
      </c>
    </row>
    <row r="27" spans="1:11">
      <c r="A27" s="62">
        <v>25</v>
      </c>
      <c r="B27" s="69" t="s">
        <v>84</v>
      </c>
      <c r="C27" s="66" t="s">
        <v>161</v>
      </c>
      <c r="D27" s="65">
        <v>3</v>
      </c>
      <c r="E27" s="65">
        <v>48800</v>
      </c>
      <c r="F27" s="87">
        <f t="shared" si="1"/>
        <v>146400</v>
      </c>
      <c r="G27" s="88" t="s">
        <v>162</v>
      </c>
      <c r="H27" s="66"/>
      <c r="I27" s="65"/>
      <c r="J27" s="65"/>
      <c r="K27" s="67">
        <f t="shared" si="2"/>
        <v>0</v>
      </c>
    </row>
    <row r="28" spans="1:11">
      <c r="A28" s="62">
        <v>26</v>
      </c>
      <c r="B28" s="69" t="s">
        <v>163</v>
      </c>
      <c r="C28" s="66" t="s">
        <v>85</v>
      </c>
      <c r="D28" s="65">
        <v>4</v>
      </c>
      <c r="E28" s="65">
        <v>16500</v>
      </c>
      <c r="F28" s="87">
        <f t="shared" si="1"/>
        <v>66000</v>
      </c>
      <c r="G28" s="88" t="s">
        <v>164</v>
      </c>
      <c r="H28" s="66" t="s">
        <v>165</v>
      </c>
      <c r="I28" s="65"/>
      <c r="J28" s="65"/>
      <c r="K28" s="67">
        <f t="shared" si="2"/>
        <v>0</v>
      </c>
    </row>
    <row r="29" spans="1:11">
      <c r="A29" s="62">
        <v>27</v>
      </c>
      <c r="B29" s="77" t="s">
        <v>166</v>
      </c>
      <c r="C29" s="66" t="s">
        <v>167</v>
      </c>
      <c r="D29" s="65">
        <v>3</v>
      </c>
      <c r="E29" s="94">
        <v>5200</v>
      </c>
      <c r="F29" s="87">
        <f>D29*E29</f>
        <v>15600</v>
      </c>
      <c r="G29" s="95" t="s">
        <v>168</v>
      </c>
      <c r="H29" s="66" t="s">
        <v>169</v>
      </c>
      <c r="I29" s="65"/>
      <c r="J29" s="65"/>
      <c r="K29" s="67">
        <f t="shared" si="2"/>
        <v>0</v>
      </c>
    </row>
    <row r="30" spans="1:11">
      <c r="A30" s="62">
        <v>28</v>
      </c>
      <c r="B30" s="77" t="s">
        <v>170</v>
      </c>
      <c r="C30" s="66" t="s">
        <v>171</v>
      </c>
      <c r="D30" s="65">
        <v>1</v>
      </c>
      <c r="E30" s="65">
        <v>2500</v>
      </c>
      <c r="F30" s="87">
        <f>D30*E30</f>
        <v>2500</v>
      </c>
      <c r="G30" s="91" t="s">
        <v>172</v>
      </c>
      <c r="H30" s="66" t="s">
        <v>165</v>
      </c>
      <c r="I30" s="65"/>
      <c r="J30" s="65"/>
      <c r="K30" s="67">
        <f t="shared" si="2"/>
        <v>0</v>
      </c>
    </row>
    <row r="31" spans="1:11">
      <c r="A31" s="62">
        <v>29</v>
      </c>
      <c r="B31" s="77" t="s">
        <v>173</v>
      </c>
      <c r="C31" s="66" t="s">
        <v>174</v>
      </c>
      <c r="D31" s="65">
        <v>1</v>
      </c>
      <c r="E31" s="65">
        <v>5610</v>
      </c>
      <c r="F31" s="87">
        <f>D31*E31</f>
        <v>5610</v>
      </c>
      <c r="G31" s="88" t="s">
        <v>175</v>
      </c>
      <c r="H31" s="66" t="s">
        <v>165</v>
      </c>
      <c r="I31" s="65"/>
      <c r="J31" s="65"/>
      <c r="K31" s="67">
        <f t="shared" si="2"/>
        <v>0</v>
      </c>
    </row>
    <row r="32" spans="1:11">
      <c r="A32" s="62">
        <v>30</v>
      </c>
      <c r="B32" s="77" t="s">
        <v>176</v>
      </c>
      <c r="C32" s="66" t="s">
        <v>86</v>
      </c>
      <c r="D32" s="65">
        <v>1</v>
      </c>
      <c r="E32" s="65">
        <v>13640</v>
      </c>
      <c r="F32" s="87">
        <f>D32*E32</f>
        <v>13640</v>
      </c>
      <c r="G32" s="88" t="s">
        <v>177</v>
      </c>
      <c r="H32" s="66"/>
      <c r="I32" s="65"/>
      <c r="J32" s="89"/>
      <c r="K32" s="67">
        <f t="shared" si="2"/>
        <v>0</v>
      </c>
    </row>
    <row r="33" spans="1:11">
      <c r="A33" s="62">
        <v>31</v>
      </c>
      <c r="B33" s="77"/>
      <c r="C33" s="66"/>
      <c r="D33" s="65"/>
      <c r="E33" s="65"/>
      <c r="F33" s="87"/>
      <c r="G33" s="88" t="s">
        <v>178</v>
      </c>
      <c r="H33" s="75"/>
      <c r="I33" s="93"/>
      <c r="J33" s="96"/>
      <c r="K33" s="67">
        <f t="shared" si="2"/>
        <v>0</v>
      </c>
    </row>
    <row r="34" spans="1:11">
      <c r="A34" s="62">
        <v>32</v>
      </c>
      <c r="B34" s="77"/>
      <c r="C34" s="66"/>
      <c r="D34" s="65"/>
      <c r="E34" s="65"/>
      <c r="F34" s="87">
        <f>D34*E34</f>
        <v>0</v>
      </c>
      <c r="G34" s="97"/>
      <c r="H34" s="75"/>
      <c r="I34" s="93"/>
      <c r="J34" s="96"/>
      <c r="K34" s="67">
        <f t="shared" si="2"/>
        <v>0</v>
      </c>
    </row>
    <row r="35" spans="1:11">
      <c r="A35" s="62">
        <v>33</v>
      </c>
      <c r="B35" s="78"/>
      <c r="C35" s="75"/>
      <c r="D35" s="93"/>
      <c r="E35" s="93"/>
      <c r="F35" s="98">
        <f>D35*E35</f>
        <v>0</v>
      </c>
      <c r="G35" s="97"/>
      <c r="H35" s="75"/>
      <c r="I35" s="93"/>
      <c r="J35" s="96"/>
      <c r="K35" s="99"/>
    </row>
    <row r="36" spans="1:11">
      <c r="A36" s="79"/>
      <c r="B36" s="79"/>
      <c r="C36" s="79"/>
      <c r="D36" s="72" t="s">
        <v>129</v>
      </c>
      <c r="E36" s="72"/>
      <c r="F36" s="73">
        <f>SUM(F3:F35)</f>
        <v>2057311</v>
      </c>
      <c r="G36" s="79"/>
      <c r="H36" s="79"/>
      <c r="I36" s="72" t="s">
        <v>129</v>
      </c>
      <c r="J36" s="72"/>
      <c r="K36" s="73">
        <f>SUM(K19:K34)</f>
        <v>0</v>
      </c>
    </row>
  </sheetData>
  <mergeCells count="4">
    <mergeCell ref="A1:A2"/>
    <mergeCell ref="B1:F1"/>
    <mergeCell ref="G1:K1"/>
    <mergeCell ref="G17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손익계산서_26년</vt:lpstr>
      <vt:lpstr>예싱손익</vt:lpstr>
      <vt:lpstr>초도발주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LG</cp:lastModifiedBy>
  <dcterms:created xsi:type="dcterms:W3CDTF">2025-06-02T20:45:25Z</dcterms:created>
  <dcterms:modified xsi:type="dcterms:W3CDTF">2026-03-10T02:11:58Z</dcterms:modified>
</cp:coreProperties>
</file>